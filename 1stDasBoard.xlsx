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INSTANT COURSE\Excel Project\"/>
    </mc:Choice>
  </mc:AlternateContent>
  <xr:revisionPtr revIDLastSave="0" documentId="13_ncr:1_{0FFB0292-7261-4FB7-A5BB-877F6F0BF55E}" xr6:coauthVersionLast="47" xr6:coauthVersionMax="47" xr10:uidLastSave="{00000000-0000-0000-0000-000000000000}"/>
  <bookViews>
    <workbookView xWindow="-110" yWindow="-110" windowWidth="19420" windowHeight="10300" activeTab="1" xr2:uid="{00000000-000D-0000-FFFF-FFFF00000000}"/>
  </bookViews>
  <sheets>
    <sheet name="Sheet1" sheetId="1" r:id="rId1"/>
    <sheet name="Sheet3" sheetId="3" r:id="rId2"/>
  </sheets>
  <definedNames>
    <definedName name="_xlchart.v5.0" hidden="1">Sheet1!$S$1</definedName>
    <definedName name="_xlchart.v5.1" hidden="1">Sheet1!$S$2:$S$41</definedName>
    <definedName name="_xlchart.v5.2" hidden="1">Sheet1!$T$2:$T$41</definedName>
    <definedName name="Slicer_Order_Date__Month">#N/A</definedName>
    <definedName name="Slicer_Order_Date__Quarte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_9ed0f84b-7782-4993-b3ad-aa90b2eabc9d" name="Sales Data" connection="Query - Sales Data"/>
        </x15:modelTables>
        <x15:extLst>
          <ext xmlns:x16="http://schemas.microsoft.com/office/spreadsheetml/2014/11/main" uri="{9835A34E-60A6-4A7C-AAB8-D5F71C897F49}">
            <x16:modelTimeGroupings>
              <x16:modelTimeGrouping tableName="Sales 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2" i="1"/>
  <c r="AK11" i="1"/>
  <c r="AL11" i="1"/>
  <c r="AM11" i="1"/>
  <c r="AN11" i="1"/>
  <c r="AN9" i="1"/>
  <c r="AL9" i="1"/>
  <c r="AM9" i="1"/>
  <c r="AK9" i="1"/>
  <c r="T5" i="1"/>
  <c r="T17" i="1"/>
  <c r="T29" i="1"/>
  <c r="T41" i="1"/>
  <c r="T18" i="1"/>
  <c r="T30" i="1"/>
  <c r="T20" i="1"/>
  <c r="T9" i="1"/>
  <c r="T33" i="1"/>
  <c r="T22" i="1"/>
  <c r="T11" i="1"/>
  <c r="T35" i="1"/>
  <c r="T24" i="1"/>
  <c r="T13" i="1"/>
  <c r="T14" i="1"/>
  <c r="T3" i="1"/>
  <c r="T39" i="1"/>
  <c r="T28" i="1"/>
  <c r="T6" i="1"/>
  <c r="T37" i="1"/>
  <c r="T15" i="1"/>
  <c r="T16" i="1"/>
  <c r="T7" i="1"/>
  <c r="T19" i="1"/>
  <c r="T31" i="1"/>
  <c r="T8" i="1"/>
  <c r="T32" i="1"/>
  <c r="T21" i="1"/>
  <c r="T10" i="1"/>
  <c r="T34" i="1"/>
  <c r="T23" i="1"/>
  <c r="T12" i="1"/>
  <c r="T36" i="1"/>
  <c r="T25" i="1"/>
  <c r="T26" i="1"/>
  <c r="T38" i="1"/>
  <c r="T27" i="1"/>
  <c r="T4" i="1"/>
  <c r="T40" i="1"/>
  <c r="T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8EA53E-75D5-47C5-B7C2-3B35F4553068}" name="Query - Sales Data" description="Connection to the 'Sales Data' query in the workbook." type="100" refreshedVersion="8" minRefreshableVersion="5">
    <extLst>
      <ext xmlns:x15="http://schemas.microsoft.com/office/spreadsheetml/2010/11/main" uri="{DE250136-89BD-433C-8126-D09CA5730AF9}">
        <x15:connection id="b1f1acb2-49df-4391-ab9a-2dd266eb3aa2"/>
      </ext>
    </extLst>
  </connection>
  <connection id="2" xr16:uid="{B33EA0FB-2843-480B-9B95-FC54054E4B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<sst xmlns="http://schemas.openxmlformats.org/spreadsheetml/2006/main" count="117" uniqueCount="76">
  <si>
    <t>Row Labels</t>
  </si>
  <si>
    <t>Furniture</t>
  </si>
  <si>
    <t>Office Supplies</t>
  </si>
  <si>
    <t>Technology</t>
  </si>
  <si>
    <t>Grand Total</t>
  </si>
  <si>
    <t>Sum of Total Sales Amount</t>
  </si>
  <si>
    <t>Accessories</t>
  </si>
  <si>
    <t>Chairs</t>
  </si>
  <si>
    <t>Fasteners</t>
  </si>
  <si>
    <t>Furnishings</t>
  </si>
  <si>
    <t>Paper</t>
  </si>
  <si>
    <t>Phones</t>
  </si>
  <si>
    <t>Storage</t>
  </si>
  <si>
    <t>Central</t>
  </si>
  <si>
    <t>East</t>
  </si>
  <si>
    <t>South</t>
  </si>
  <si>
    <t>West</t>
  </si>
  <si>
    <t>Alabama</t>
  </si>
  <si>
    <t>Arizona</t>
  </si>
  <si>
    <t>Arkansas</t>
  </si>
  <si>
    <t>California</t>
  </si>
  <si>
    <t>Colorado</t>
  </si>
  <si>
    <t>Connecticut</t>
  </si>
  <si>
    <t>Delaware</t>
  </si>
  <si>
    <t>Florida</t>
  </si>
  <si>
    <t>Georgia</t>
  </si>
  <si>
    <t>Illinois</t>
  </si>
  <si>
    <t>Indiana</t>
  </si>
  <si>
    <t>Iowa</t>
  </si>
  <si>
    <t>Kentucky</t>
  </si>
  <si>
    <t>Louisiana</t>
  </si>
  <si>
    <t>Maryland</t>
  </si>
  <si>
    <t>Massachusetts</t>
  </si>
  <si>
    <t>Michigan</t>
  </si>
  <si>
    <t>Minnesota</t>
  </si>
  <si>
    <t>Mississippi</t>
  </si>
  <si>
    <t>Missouri</t>
  </si>
  <si>
    <t>Montana</t>
  </si>
  <si>
    <t>Nebraska</t>
  </si>
  <si>
    <t>Nevada</t>
  </si>
  <si>
    <t>New Hampshire</t>
  </si>
  <si>
    <t>New Jersey</t>
  </si>
  <si>
    <t>New Mexico</t>
  </si>
  <si>
    <t>New York</t>
  </si>
  <si>
    <t>North Carolina</t>
  </si>
  <si>
    <t>Ohio</t>
  </si>
  <si>
    <t>Oklahoma</t>
  </si>
  <si>
    <t>Oregon</t>
  </si>
  <si>
    <t>Pennsylvania</t>
  </si>
  <si>
    <t>Rhode Island</t>
  </si>
  <si>
    <t>South Carolina</t>
  </si>
  <si>
    <t>Tennessee</t>
  </si>
  <si>
    <t>Texas</t>
  </si>
  <si>
    <t>Utah</t>
  </si>
  <si>
    <t>Virginia</t>
  </si>
  <si>
    <t>Washington</t>
  </si>
  <si>
    <t>Wisconsin</t>
  </si>
  <si>
    <t>2014</t>
  </si>
  <si>
    <t>2015</t>
  </si>
  <si>
    <t>2016</t>
  </si>
  <si>
    <t>2017</t>
  </si>
  <si>
    <t>Sum of Total Cost Amounts</t>
  </si>
  <si>
    <t>Sum of Net Profit</t>
  </si>
  <si>
    <t>Sum of Quantity</t>
  </si>
  <si>
    <t>YOY</t>
  </si>
  <si>
    <t>Feb</t>
  </si>
  <si>
    <t>Global Push Button Manager's Chair, Indigo</t>
  </si>
  <si>
    <t>Enermax Aurora Lite Keyboard</t>
  </si>
  <si>
    <t>Maxell DVD-RAM Discs</t>
  </si>
  <si>
    <t>Carina Double Wide Media Storage Towers in Natural &amp; Black</t>
  </si>
  <si>
    <t>Kensington SlimBlade Notebook Wireless Mouse with Nano Receiver</t>
  </si>
  <si>
    <t>Tops Green Bar Computer Printout Paper</t>
  </si>
  <si>
    <t>Logitech Mobile Speakerphone P710e - speaker phone</t>
  </si>
  <si>
    <t>JBL Micro Wireless Portable Bluetooth Speaker</t>
  </si>
  <si>
    <t>Global Low Back Tilter Chair</t>
  </si>
  <si>
    <t>Anker 36W 4-Port USB Wall Charger Travel Power Adapter for iPhone 5s 5c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</si>
</sst>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reen]\_xd83d_\_xdd3c_\ 0.00%;[Red]\_xd83d_\_xdd3d_0.00%"/>
  </numFmts>
  <fonts count="4"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1" tint="0.24997711111789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2" fillId="2" borderId="1" xfId="0" applyFont="1" applyFill="1" applyBorder="1"/>
    <xf numFmtId="0" fontId="1" fillId="3" borderId="0" xfId="0" applyFont="1" applyFill="1"/>
    <xf numFmtId="164" fontId="3" fillId="0" borderId="0" xfId="0" applyNumberFormat="1" applyFont="1" applyAlignment="1">
      <alignment horizontal="center"/>
    </xf>
    <xf numFmtId="164" fontId="0" fillId="0" borderId="0" xfId="0" applyNumberFormat="1" applyAlignment="1">
      <alignment horizontal="center"/>
    </xf>
  </cellXfs>
  <cellStyles count="1">
    <cellStyle name="Normal" xfId="0" builtinId="0"/>
  </cellStyles>
  <dxfs count="2">
    <dxf>
      <font>
        <sz val="20"/>
      </font>
    </dxf>
    <dxf>
      <font>
        <sz val="16"/>
      </font>
    </dxf>
  </dxfs>
  <tableStyles count="2" defaultTableStyle="TableStyleMedium2" defaultPivotStyle="PivotStyleLight16">
    <tableStyle name="Slicer Style 1" pivot="0" table="0" count="1" xr9:uid="{5EB0C371-5105-4526-9694-43A300FD8E5C}">
      <tableStyleElement type="wholeTable" dxfId="1"/>
    </tableStyle>
    <tableStyle name="Slicer Style 2" pivot="0" table="0" count="1" xr9:uid="{3ABDF595-EDE3-4B51-ADDB-EF777E818225}">
      <tableStyleElement type="wholeTable" dxfId="0"/>
    </tableStyle>
  </tableStyles>
  <colors>
    <mruColors>
      <color rgb="FF4E79A7"/>
      <color rgb="FFF5F6FA"/>
      <color rgb="FFE5E7EB"/>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3" Type="http://schemas.openxmlformats.org/officeDocument/2006/relationships/pivotCacheDefinition" Target="pivotCache/pivotCacheDefinition1.xml"/><Relationship Id="rId21" Type="http://schemas.openxmlformats.org/officeDocument/2006/relationships/powerPivotData" Target="model/item.data"/><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pivotCacheDefinition" Target="pivotCache/pivotCacheDefinition8.xml"/><Relationship Id="rId19"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[1stDasBoard.xlsx]Sheet1!Sales By SubProduct</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Sheet1!$F$1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25-4390-8F1F-B9985F2F36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25-4390-8F1F-B9985F2F36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25-4390-8F1F-B9985F2F36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825-4390-8F1F-B9985F2F36D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825-4390-8F1F-B9985F2F36D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825-4390-8F1F-B9985F2F36D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825-4390-8F1F-B9985F2F36D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825-4390-8F1F-B9985F2F36D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825-4390-8F1F-B9985F2F36D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825-4390-8F1F-B9985F2F36D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825-4390-8F1F-B9985F2F36D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825-4390-8F1F-B9985F2F36D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825-4390-8F1F-B9985F2F36D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825-4390-8F1F-B9985F2F36D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825-4390-8F1F-B9985F2F36D9}"/>
              </c:ext>
            </c:extLst>
          </c:dPt>
          <c:cat>
            <c:strRef>
              <c:f>Sheet1!$E$2:$E$9</c:f>
              <c:strCache>
                <c:ptCount val="7"/>
                <c:pt idx="0">
                  <c:v>Accessories</c:v>
                </c:pt>
                <c:pt idx="1">
                  <c:v>Chairs</c:v>
                </c:pt>
                <c:pt idx="2">
                  <c:v>Phones</c:v>
                </c:pt>
                <c:pt idx="3">
                  <c:v>Storage</c:v>
                </c:pt>
                <c:pt idx="4">
                  <c:v>Paper</c:v>
                </c:pt>
                <c:pt idx="5">
                  <c:v>Fasteners</c:v>
                </c:pt>
                <c:pt idx="6">
                  <c:v>Furnishings</c:v>
                </c:pt>
              </c:strCache>
            </c:strRef>
          </c:cat>
          <c:val>
            <c:numRef>
              <c:f>Sheet1!$F$2:$F$9</c:f>
              <c:numCache>
                <c:formatCode>General</c:formatCode>
                <c:ptCount val="7"/>
                <c:pt idx="0">
                  <c:v>4112.43</c:v>
                </c:pt>
                <c:pt idx="1">
                  <c:v>3699.84</c:v>
                </c:pt>
                <c:pt idx="2">
                  <c:v>1055.732</c:v>
                </c:pt>
                <c:pt idx="3">
                  <c:v>728.81999999999994</c:v>
                </c:pt>
                <c:pt idx="4">
                  <c:v>597.06799999999998</c:v>
                </c:pt>
                <c:pt idx="5">
                  <c:v>193.10399999999998</c:v>
                </c:pt>
                <c:pt idx="6">
                  <c:v>167.95</c:v>
                </c:pt>
              </c:numCache>
            </c:numRef>
          </c:val>
          <c:extLst>
            <c:ext xmlns:c16="http://schemas.microsoft.com/office/drawing/2014/chart" uri="{C3380CC4-5D6E-409C-BE32-E72D297353CC}">
              <c16:uniqueId val="{00000000-87FD-4D06-9539-4CAF8A5D694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[1stDasBoard.xlsx]Sheet1!Sales By Product</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213685009600643"/>
          <c:y val="0.16640265974691407"/>
          <c:w val="0.50445261450069212"/>
          <c:h val="0.74540656552437667"/>
        </c:manualLayout>
      </c:layout>
      <c:pieChart>
        <c:varyColors val="1"/>
        <c:ser>
          <c:idx val="0"/>
          <c:order val="0"/>
          <c:tx>
            <c:strRef>
              <c:f>Sheet1!$B$1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19-4E22-A016-3DFA2888417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C019-4E22-A016-3DFA2888417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C019-4E22-A016-3DFA2888417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noFill/>
                    </a:ln>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Sheet1!$A$2:$A$5</c:f>
              <c:strCache>
                <c:ptCount val="3"/>
                <c:pt idx="0">
                  <c:v>Furniture</c:v>
                </c:pt>
                <c:pt idx="1">
                  <c:v>Office Supplies</c:v>
                </c:pt>
                <c:pt idx="2">
                  <c:v>Technology</c:v>
                </c:pt>
              </c:strCache>
            </c:strRef>
          </c:cat>
          <c:val>
            <c:numRef>
              <c:f>Sheet1!$B$2:$B$5</c:f>
              <c:numCache>
                <c:formatCode>General</c:formatCode>
                <c:ptCount val="3"/>
                <c:pt idx="0">
                  <c:v>3867.79</c:v>
                </c:pt>
                <c:pt idx="1">
                  <c:v>1518.992</c:v>
                </c:pt>
                <c:pt idx="2">
                  <c:v>5168.1620000000003</c:v>
                </c:pt>
              </c:numCache>
            </c:numRef>
          </c:val>
          <c:extLst>
            <c:ext xmlns:c16="http://schemas.microsoft.com/office/drawing/2014/chart" uri="{C3380CC4-5D6E-409C-BE32-E72D297353CC}">
              <c16:uniqueId val="{00000009-B06C-40CC-8319-2CF2E43C77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125319362691924"/>
          <c:y val="7.4778340136542248E-2"/>
          <c:w val="0.33279154920449761"/>
          <c:h val="0.8106247063972279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[1stDasBoard.xlsx]Sheet1!Sales By SubProduct</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6947957262918"/>
          <c:y val="0.10368358035793614"/>
          <c:w val="0.80034096113220365"/>
          <c:h val="0.59936747784318323"/>
        </c:manualLayout>
      </c:layout>
      <c:barChart>
        <c:barDir val="col"/>
        <c:grouping val="clustered"/>
        <c:varyColors val="0"/>
        <c:ser>
          <c:idx val="0"/>
          <c:order val="0"/>
          <c:tx>
            <c:strRef>
              <c:f>Sheet1!$F$1</c:f>
              <c:strCache>
                <c:ptCount val="1"/>
                <c:pt idx="0">
                  <c:v>Total</c:v>
                </c:pt>
              </c:strCache>
            </c:strRef>
          </c:tx>
          <c:spPr>
            <a:solidFill>
              <a:schemeClr val="accent5">
                <a:lumMod val="50000"/>
              </a:schemeClr>
            </a:solidFill>
            <a:ln>
              <a:noFill/>
            </a:ln>
            <a:effectLst/>
          </c:spPr>
          <c:invertIfNegative val="0"/>
          <c:cat>
            <c:strRef>
              <c:f>Sheet1!$E$2:$E$9</c:f>
              <c:strCache>
                <c:ptCount val="7"/>
                <c:pt idx="0">
                  <c:v>Accessories</c:v>
                </c:pt>
                <c:pt idx="1">
                  <c:v>Chairs</c:v>
                </c:pt>
                <c:pt idx="2">
                  <c:v>Phones</c:v>
                </c:pt>
                <c:pt idx="3">
                  <c:v>Storage</c:v>
                </c:pt>
                <c:pt idx="4">
                  <c:v>Paper</c:v>
                </c:pt>
                <c:pt idx="5">
                  <c:v>Fasteners</c:v>
                </c:pt>
                <c:pt idx="6">
                  <c:v>Furnishings</c:v>
                </c:pt>
              </c:strCache>
            </c:strRef>
          </c:cat>
          <c:val>
            <c:numRef>
              <c:f>Sheet1!$F$2:$F$9</c:f>
              <c:numCache>
                <c:formatCode>General</c:formatCode>
                <c:ptCount val="7"/>
                <c:pt idx="0">
                  <c:v>4112.43</c:v>
                </c:pt>
                <c:pt idx="1">
                  <c:v>3699.84</c:v>
                </c:pt>
                <c:pt idx="2">
                  <c:v>1055.732</c:v>
                </c:pt>
                <c:pt idx="3">
                  <c:v>728.81999999999994</c:v>
                </c:pt>
                <c:pt idx="4">
                  <c:v>597.06799999999998</c:v>
                </c:pt>
                <c:pt idx="5">
                  <c:v>193.10399999999998</c:v>
                </c:pt>
                <c:pt idx="6">
                  <c:v>167.95</c:v>
                </c:pt>
              </c:numCache>
            </c:numRef>
          </c:val>
          <c:extLst>
            <c:ext xmlns:c16="http://schemas.microsoft.com/office/drawing/2014/chart" uri="{C3380CC4-5D6E-409C-BE32-E72D297353CC}">
              <c16:uniqueId val="{00000003-33EF-46E8-A836-B2903F0F58D8}"/>
            </c:ext>
          </c:extLst>
        </c:ser>
        <c:dLbls>
          <c:showLegendKey val="0"/>
          <c:showVal val="0"/>
          <c:showCatName val="0"/>
          <c:showSerName val="0"/>
          <c:showPercent val="0"/>
          <c:showBubbleSize val="0"/>
        </c:dLbls>
        <c:gapWidth val="219"/>
        <c:overlap val="-27"/>
        <c:axId val="1170338640"/>
        <c:axId val="1170333840"/>
      </c:barChart>
      <c:catAx>
        <c:axId val="117033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0333840"/>
        <c:crosses val="autoZero"/>
        <c:auto val="1"/>
        <c:lblAlgn val="ctr"/>
        <c:lblOffset val="100"/>
        <c:noMultiLvlLbl val="0"/>
      </c:catAx>
      <c:valAx>
        <c:axId val="1170333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033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[1stDasBoard.xlsx]Sheet1!Top 4 Products By Sales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7253925936424"/>
          <c:y val="5.0000692728658182E-2"/>
          <c:w val="0.771070215993643"/>
          <c:h val="0.38485021774512823"/>
        </c:manualLayout>
      </c:layout>
      <c:barChart>
        <c:barDir val="col"/>
        <c:grouping val="clustered"/>
        <c:varyColors val="0"/>
        <c:ser>
          <c:idx val="0"/>
          <c:order val="0"/>
          <c:tx>
            <c:strRef>
              <c:f>Sheet1!$N$1</c:f>
              <c:strCache>
                <c:ptCount val="1"/>
                <c:pt idx="0">
                  <c:v>Total</c:v>
                </c:pt>
              </c:strCache>
            </c:strRef>
          </c:tx>
          <c:spPr>
            <a:solidFill>
              <a:schemeClr val="accent5">
                <a:lumMod val="50000"/>
              </a:schemeClr>
            </a:solidFill>
            <a:ln>
              <a:noFill/>
            </a:ln>
            <a:effectLst/>
          </c:spPr>
          <c:invertIfNegative val="0"/>
          <c:cat>
            <c:strRef>
              <c:f>Sheet1!$M$2:$M$12</c:f>
              <c:strCache>
                <c:ptCount val="10"/>
                <c:pt idx="0">
                  <c:v>Global Push Button Manager's Chair, Indigo</c:v>
                </c:pt>
                <c:pt idx="1">
                  <c:v>Enermax Aurora Lite Keyboard</c:v>
                </c:pt>
                <c:pt idx="2">
                  <c:v>Maxell DVD-RAM Discs</c:v>
                </c:pt>
                <c:pt idx="3">
                  <c:v>Carina Double Wide Media Storage Towers in Natural &amp; Black</c:v>
                </c:pt>
                <c:pt idx="4">
                  <c:v>Kensington SlimBlade Notebook Wireless Mouse with Nano Receiver</c:v>
                </c:pt>
                <c:pt idx="5">
                  <c:v>Tops Green Bar Computer Printout Paper</c:v>
                </c:pt>
                <c:pt idx="6">
                  <c:v>Logitech Mobile Speakerphone P710e - speaker phone</c:v>
                </c:pt>
                <c:pt idx="7">
                  <c:v>JBL Micro Wireless Portable Bluetooth Speaker</c:v>
                </c:pt>
                <c:pt idx="8">
                  <c:v>Global Low Back Tilter Chair</c:v>
                </c:pt>
                <c:pt idx="9">
                  <c:v>Anker 36W 4-Port USB Wall Charger Travel Power Adapter for iPhone 5s 5c 5</c:v>
                </c:pt>
              </c:strCache>
            </c:strRef>
          </c:cat>
          <c:val>
            <c:numRef>
              <c:f>Sheet1!$N$2:$N$12</c:f>
              <c:numCache>
                <c:formatCode>General</c:formatCode>
                <c:ptCount val="10"/>
                <c:pt idx="0">
                  <c:v>3117.5680000000002</c:v>
                </c:pt>
                <c:pt idx="1">
                  <c:v>2813.4</c:v>
                </c:pt>
                <c:pt idx="2">
                  <c:v>807.52</c:v>
                </c:pt>
                <c:pt idx="3">
                  <c:v>728.81999999999994</c:v>
                </c:pt>
                <c:pt idx="4">
                  <c:v>449.90999999999997</c:v>
                </c:pt>
                <c:pt idx="5">
                  <c:v>440.46</c:v>
                </c:pt>
                <c:pt idx="6">
                  <c:v>431.93599999999998</c:v>
                </c:pt>
                <c:pt idx="7">
                  <c:v>323.94600000000003</c:v>
                </c:pt>
                <c:pt idx="8">
                  <c:v>323.13600000000002</c:v>
                </c:pt>
                <c:pt idx="9">
                  <c:v>299.84999999999997</c:v>
                </c:pt>
              </c:numCache>
            </c:numRef>
          </c:val>
          <c:extLst>
            <c:ext xmlns:c16="http://schemas.microsoft.com/office/drawing/2014/chart" uri="{C3380CC4-5D6E-409C-BE32-E72D297353CC}">
              <c16:uniqueId val="{00000003-9101-4B99-83C3-D410C861BD74}"/>
            </c:ext>
          </c:extLst>
        </c:ser>
        <c:dLbls>
          <c:showLegendKey val="0"/>
          <c:showVal val="0"/>
          <c:showCatName val="0"/>
          <c:showSerName val="0"/>
          <c:showPercent val="0"/>
          <c:showBubbleSize val="0"/>
        </c:dLbls>
        <c:gapWidth val="219"/>
        <c:overlap val="-27"/>
        <c:axId val="1170344400"/>
        <c:axId val="1170343440"/>
      </c:barChart>
      <c:catAx>
        <c:axId val="117034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343440"/>
        <c:crosses val="autoZero"/>
        <c:auto val="1"/>
        <c:lblAlgn val="ctr"/>
        <c:lblOffset val="100"/>
        <c:noMultiLvlLbl val="0"/>
      </c:catAx>
      <c:valAx>
        <c:axId val="1170343440"/>
        <c:scaling>
          <c:orientation val="minMax"/>
        </c:scaling>
        <c:delete val="1"/>
        <c:axPos val="l"/>
        <c:numFmt formatCode="General" sourceLinked="1"/>
        <c:majorTickMark val="none"/>
        <c:minorTickMark val="none"/>
        <c:tickLblPos val="nextTo"/>
        <c:crossAx val="11703444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bg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[1stDasBoard.xlsx]Sheet1!Sales By Region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Sheet1!$K$1</c:f>
              <c:strCache>
                <c:ptCount val="1"/>
                <c:pt idx="0">
                  <c:v>Total</c:v>
                </c:pt>
              </c:strCache>
            </c:strRef>
          </c:tx>
          <c:spPr>
            <a:solidFill>
              <a:schemeClr val="accent5">
                <a:lumMod val="50000"/>
              </a:schemeClr>
            </a:solidFill>
            <a:ln>
              <a:noFill/>
            </a:ln>
            <a:effectLst/>
          </c:spPr>
          <c:invertIfNegative val="0"/>
          <c:cat>
            <c:strRef>
              <c:f>Sheet1!$J$2:$J$6</c:f>
              <c:strCache>
                <c:ptCount val="4"/>
                <c:pt idx="0">
                  <c:v>West</c:v>
                </c:pt>
                <c:pt idx="1">
                  <c:v>East</c:v>
                </c:pt>
                <c:pt idx="2">
                  <c:v>Central</c:v>
                </c:pt>
                <c:pt idx="3">
                  <c:v>South</c:v>
                </c:pt>
              </c:strCache>
            </c:strRef>
          </c:cat>
          <c:val>
            <c:numRef>
              <c:f>Sheet1!$K$2:$K$6</c:f>
              <c:numCache>
                <c:formatCode>General</c:formatCode>
                <c:ptCount val="4"/>
                <c:pt idx="0">
                  <c:v>1153.7619999999999</c:v>
                </c:pt>
                <c:pt idx="1">
                  <c:v>2598.768</c:v>
                </c:pt>
                <c:pt idx="2">
                  <c:v>3361.71</c:v>
                </c:pt>
                <c:pt idx="3">
                  <c:v>3440.7040000000002</c:v>
                </c:pt>
              </c:numCache>
            </c:numRef>
          </c:val>
          <c:extLst>
            <c:ext xmlns:c16="http://schemas.microsoft.com/office/drawing/2014/chart" uri="{C3380CC4-5D6E-409C-BE32-E72D297353CC}">
              <c16:uniqueId val="{00000003-8A01-41DB-8DBF-95CECB2A1E1B}"/>
            </c:ext>
          </c:extLst>
        </c:ser>
        <c:dLbls>
          <c:showLegendKey val="0"/>
          <c:showVal val="0"/>
          <c:showCatName val="0"/>
          <c:showSerName val="0"/>
          <c:showPercent val="0"/>
          <c:showBubbleSize val="0"/>
        </c:dLbls>
        <c:gapWidth val="182"/>
        <c:axId val="1170281040"/>
        <c:axId val="1170286320"/>
      </c:barChart>
      <c:catAx>
        <c:axId val="117028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170286320"/>
        <c:crosses val="autoZero"/>
        <c:auto val="1"/>
        <c:lblAlgn val="ctr"/>
        <c:lblOffset val="100"/>
        <c:noMultiLvlLbl val="0"/>
      </c:catAx>
      <c:valAx>
        <c:axId val="1170286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17028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[1stDasBoard.xlsx]Sheet1!Sales By Order Date</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Sheet1!$AF$2</c:f>
              <c:strCache>
                <c:ptCount val="1"/>
                <c:pt idx="0">
                  <c:v>Total</c:v>
                </c:pt>
              </c:strCache>
            </c:strRef>
          </c:tx>
          <c:spPr>
            <a:ln w="28575" cap="rnd">
              <a:solidFill>
                <a:schemeClr val="accent5">
                  <a:lumMod val="50000"/>
                </a:schemeClr>
              </a:solidFill>
              <a:round/>
            </a:ln>
            <a:effectLst/>
          </c:spPr>
          <c:marker>
            <c:symbol val="none"/>
          </c:marker>
          <c:cat>
            <c:strRef>
              <c:f>Sheet1!$AE$3:$AE$7</c:f>
              <c:strCache>
                <c:ptCount val="4"/>
                <c:pt idx="0">
                  <c:v>2014</c:v>
                </c:pt>
                <c:pt idx="1">
                  <c:v>2015</c:v>
                </c:pt>
                <c:pt idx="2">
                  <c:v>2016</c:v>
                </c:pt>
                <c:pt idx="3">
                  <c:v>2017</c:v>
                </c:pt>
              </c:strCache>
            </c:strRef>
          </c:cat>
          <c:val>
            <c:numRef>
              <c:f>Sheet1!$AF$3:$AF$7</c:f>
              <c:numCache>
                <c:formatCode>General</c:formatCode>
                <c:ptCount val="4"/>
                <c:pt idx="0">
                  <c:v>3880.056</c:v>
                </c:pt>
                <c:pt idx="1">
                  <c:v>4312.96</c:v>
                </c:pt>
                <c:pt idx="2">
                  <c:v>1258.1999999999998</c:v>
                </c:pt>
                <c:pt idx="3">
                  <c:v>1103.7280000000001</c:v>
                </c:pt>
              </c:numCache>
            </c:numRef>
          </c:val>
          <c:smooth val="0"/>
          <c:extLst>
            <c:ext xmlns:c16="http://schemas.microsoft.com/office/drawing/2014/chart" uri="{C3380CC4-5D6E-409C-BE32-E72D297353CC}">
              <c16:uniqueId val="{00000003-8398-496A-80A7-A38BBBA455B1}"/>
            </c:ext>
          </c:extLst>
        </c:ser>
        <c:dLbls>
          <c:showLegendKey val="0"/>
          <c:showVal val="0"/>
          <c:showCatName val="0"/>
          <c:showSerName val="0"/>
          <c:showPercent val="0"/>
          <c:showBubbleSize val="0"/>
        </c:dLbls>
        <c:smooth val="0"/>
        <c:axId val="2007111663"/>
        <c:axId val="2007117903"/>
      </c:lineChart>
      <c:catAx>
        <c:axId val="200711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007117903"/>
        <c:crosses val="autoZero"/>
        <c:auto val="1"/>
        <c:lblAlgn val="ctr"/>
        <c:lblOffset val="100"/>
        <c:noMultiLvlLbl val="0"/>
      </c:catAx>
      <c:valAx>
        <c:axId val="2007117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00711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[1stDasBoard.xlsx]Sheet1!Sales By Month</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Sheet1!$AV$3</c:f>
              <c:strCache>
                <c:ptCount val="1"/>
                <c:pt idx="0">
                  <c:v>Total</c:v>
                </c:pt>
              </c:strCache>
            </c:strRef>
          </c:tx>
          <c:spPr>
            <a:ln w="28575" cap="rnd">
              <a:solidFill>
                <a:schemeClr val="accent5">
                  <a:lumMod val="50000"/>
                </a:schemeClr>
              </a:solidFill>
              <a:round/>
            </a:ln>
            <a:effectLst/>
          </c:spPr>
          <c:marker>
            <c:symbol val="none"/>
          </c:marker>
          <c:cat>
            <c:strRef>
              <c:f>Sheet1!$AU$4:$AU$5</c:f>
              <c:strCache>
                <c:ptCount val="1"/>
                <c:pt idx="0">
                  <c:v>Feb</c:v>
                </c:pt>
              </c:strCache>
            </c:strRef>
          </c:cat>
          <c:val>
            <c:numRef>
              <c:f>Sheet1!$AV$4:$AV$5</c:f>
              <c:numCache>
                <c:formatCode>General</c:formatCode>
                <c:ptCount val="1"/>
                <c:pt idx="0">
                  <c:v>10554.944</c:v>
                </c:pt>
              </c:numCache>
            </c:numRef>
          </c:val>
          <c:smooth val="0"/>
          <c:extLst>
            <c:ext xmlns:c16="http://schemas.microsoft.com/office/drawing/2014/chart" uri="{C3380CC4-5D6E-409C-BE32-E72D297353CC}">
              <c16:uniqueId val="{00000000-3931-4341-9DA8-B552F9CAA147}"/>
            </c:ext>
          </c:extLst>
        </c:ser>
        <c:dLbls>
          <c:showLegendKey val="0"/>
          <c:showVal val="0"/>
          <c:showCatName val="0"/>
          <c:showSerName val="0"/>
          <c:showPercent val="0"/>
          <c:showBubbleSize val="0"/>
        </c:dLbls>
        <c:smooth val="0"/>
        <c:axId val="2007120303"/>
        <c:axId val="2007121263"/>
      </c:lineChart>
      <c:catAx>
        <c:axId val="2007120303"/>
        <c:scaling>
          <c:orientation val="minMax"/>
        </c:scaling>
        <c:delete val="1"/>
        <c:axPos val="b"/>
        <c:numFmt formatCode="General" sourceLinked="1"/>
        <c:majorTickMark val="none"/>
        <c:minorTickMark val="none"/>
        <c:tickLblPos val="nextTo"/>
        <c:crossAx val="2007121263"/>
        <c:crosses val="autoZero"/>
        <c:auto val="1"/>
        <c:lblAlgn val="ctr"/>
        <c:lblOffset val="100"/>
        <c:noMultiLvlLbl val="0"/>
      </c:catAx>
      <c:valAx>
        <c:axId val="2007121263"/>
        <c:scaling>
          <c:orientation val="minMax"/>
        </c:scaling>
        <c:delete val="1"/>
        <c:axPos val="l"/>
        <c:numFmt formatCode="General" sourceLinked="1"/>
        <c:majorTickMark val="none"/>
        <c:minorTickMark val="none"/>
        <c:tickLblPos val="nextTo"/>
        <c:crossAx val="200712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[1stDasBoard.xlsx]Sheet1!Cost By Month</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Sheet1!$AZ$3</c:f>
              <c:strCache>
                <c:ptCount val="1"/>
                <c:pt idx="0">
                  <c:v>Total</c:v>
                </c:pt>
              </c:strCache>
            </c:strRef>
          </c:tx>
          <c:spPr>
            <a:ln w="28575" cap="rnd">
              <a:solidFill>
                <a:schemeClr val="accent5">
                  <a:lumMod val="50000"/>
                </a:schemeClr>
              </a:solidFill>
              <a:round/>
            </a:ln>
            <a:effectLst/>
          </c:spPr>
          <c:marker>
            <c:symbol val="none"/>
          </c:marker>
          <c:cat>
            <c:strRef>
              <c:f>Sheet1!$AY$4:$AY$5</c:f>
              <c:strCache>
                <c:ptCount val="1"/>
                <c:pt idx="0">
                  <c:v>Feb</c:v>
                </c:pt>
              </c:strCache>
            </c:strRef>
          </c:cat>
          <c:val>
            <c:numRef>
              <c:f>Sheet1!$AZ$4:$AZ$5</c:f>
              <c:numCache>
                <c:formatCode>General</c:formatCode>
                <c:ptCount val="1"/>
                <c:pt idx="0">
                  <c:v>6498.9241999999995</c:v>
                </c:pt>
              </c:numCache>
            </c:numRef>
          </c:val>
          <c:smooth val="0"/>
          <c:extLst>
            <c:ext xmlns:c16="http://schemas.microsoft.com/office/drawing/2014/chart" uri="{C3380CC4-5D6E-409C-BE32-E72D297353CC}">
              <c16:uniqueId val="{00000000-F15D-4A33-95D4-78FB373E3066}"/>
            </c:ext>
          </c:extLst>
        </c:ser>
        <c:dLbls>
          <c:showLegendKey val="0"/>
          <c:showVal val="0"/>
          <c:showCatName val="0"/>
          <c:showSerName val="0"/>
          <c:showPercent val="0"/>
          <c:showBubbleSize val="0"/>
        </c:dLbls>
        <c:smooth val="0"/>
        <c:axId val="199652960"/>
        <c:axId val="199649120"/>
      </c:lineChart>
      <c:catAx>
        <c:axId val="199652960"/>
        <c:scaling>
          <c:orientation val="minMax"/>
        </c:scaling>
        <c:delete val="1"/>
        <c:axPos val="b"/>
        <c:numFmt formatCode="General" sourceLinked="1"/>
        <c:majorTickMark val="none"/>
        <c:minorTickMark val="none"/>
        <c:tickLblPos val="nextTo"/>
        <c:crossAx val="199649120"/>
        <c:crosses val="autoZero"/>
        <c:auto val="1"/>
        <c:lblAlgn val="ctr"/>
        <c:lblOffset val="100"/>
        <c:noMultiLvlLbl val="0"/>
      </c:catAx>
      <c:valAx>
        <c:axId val="199649120"/>
        <c:scaling>
          <c:orientation val="minMax"/>
        </c:scaling>
        <c:delete val="1"/>
        <c:axPos val="l"/>
        <c:numFmt formatCode="General" sourceLinked="1"/>
        <c:majorTickMark val="none"/>
        <c:minorTickMark val="none"/>
        <c:tickLblPos val="nextTo"/>
        <c:crossAx val="19965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[1stDasBoard.xlsx]Sheet1!Profit By Month</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Sheet1!$BC$3</c:f>
              <c:strCache>
                <c:ptCount val="1"/>
                <c:pt idx="0">
                  <c:v>Total</c:v>
                </c:pt>
              </c:strCache>
            </c:strRef>
          </c:tx>
          <c:spPr>
            <a:ln w="28575" cap="rnd">
              <a:solidFill>
                <a:schemeClr val="accent5">
                  <a:lumMod val="50000"/>
                </a:schemeClr>
              </a:solidFill>
              <a:round/>
            </a:ln>
            <a:effectLst/>
          </c:spPr>
          <c:marker>
            <c:symbol val="none"/>
          </c:marker>
          <c:cat>
            <c:strRef>
              <c:f>Sheet1!$BB$4:$BB$5</c:f>
              <c:strCache>
                <c:ptCount val="1"/>
                <c:pt idx="0">
                  <c:v>Feb</c:v>
                </c:pt>
              </c:strCache>
            </c:strRef>
          </c:cat>
          <c:val>
            <c:numRef>
              <c:f>Sheet1!$BC$4:$BC$5</c:f>
              <c:numCache>
                <c:formatCode>General</c:formatCode>
                <c:ptCount val="1"/>
                <c:pt idx="0">
                  <c:v>4056.0197999999996</c:v>
                </c:pt>
              </c:numCache>
            </c:numRef>
          </c:val>
          <c:smooth val="0"/>
          <c:extLst>
            <c:ext xmlns:c16="http://schemas.microsoft.com/office/drawing/2014/chart" uri="{C3380CC4-5D6E-409C-BE32-E72D297353CC}">
              <c16:uniqueId val="{00000000-530A-4AD7-A2E1-5A514444C24B}"/>
            </c:ext>
          </c:extLst>
        </c:ser>
        <c:dLbls>
          <c:showLegendKey val="0"/>
          <c:showVal val="0"/>
          <c:showCatName val="0"/>
          <c:showSerName val="0"/>
          <c:showPercent val="0"/>
          <c:showBubbleSize val="0"/>
        </c:dLbls>
        <c:smooth val="0"/>
        <c:axId val="2077738751"/>
        <c:axId val="2034161679"/>
      </c:lineChart>
      <c:catAx>
        <c:axId val="2077738751"/>
        <c:scaling>
          <c:orientation val="minMax"/>
        </c:scaling>
        <c:delete val="1"/>
        <c:axPos val="b"/>
        <c:numFmt formatCode="General" sourceLinked="1"/>
        <c:majorTickMark val="none"/>
        <c:minorTickMark val="none"/>
        <c:tickLblPos val="nextTo"/>
        <c:crossAx val="2034161679"/>
        <c:crosses val="autoZero"/>
        <c:auto val="1"/>
        <c:lblAlgn val="ctr"/>
        <c:lblOffset val="100"/>
        <c:noMultiLvlLbl val="0"/>
      </c:catAx>
      <c:valAx>
        <c:axId val="2034161679"/>
        <c:scaling>
          <c:orientation val="minMax"/>
        </c:scaling>
        <c:delete val="1"/>
        <c:axPos val="l"/>
        <c:numFmt formatCode="General" sourceLinked="1"/>
        <c:majorTickMark val="none"/>
        <c:minorTickMark val="none"/>
        <c:tickLblPos val="nextTo"/>
        <c:crossAx val="207773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[1stDasBoard.xlsx]Sheet1!Quantity By Month</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Sheet1!$BF$3</c:f>
              <c:strCache>
                <c:ptCount val="1"/>
                <c:pt idx="0">
                  <c:v>Total</c:v>
                </c:pt>
              </c:strCache>
            </c:strRef>
          </c:tx>
          <c:spPr>
            <a:ln w="28575" cap="rnd">
              <a:solidFill>
                <a:schemeClr val="accent5">
                  <a:lumMod val="50000"/>
                </a:schemeClr>
              </a:solidFill>
              <a:round/>
            </a:ln>
            <a:effectLst/>
          </c:spPr>
          <c:marker>
            <c:symbol val="none"/>
          </c:marker>
          <c:cat>
            <c:strRef>
              <c:f>Sheet1!$BE$4:$BE$5</c:f>
              <c:strCache>
                <c:ptCount val="1"/>
                <c:pt idx="0">
                  <c:v>Feb</c:v>
                </c:pt>
              </c:strCache>
            </c:strRef>
          </c:cat>
          <c:val>
            <c:numRef>
              <c:f>Sheet1!$BF$4:$BF$5</c:f>
              <c:numCache>
                <c:formatCode>General</c:formatCode>
                <c:ptCount val="1"/>
                <c:pt idx="0">
                  <c:v>62</c:v>
                </c:pt>
              </c:numCache>
            </c:numRef>
          </c:val>
          <c:smooth val="0"/>
          <c:extLst>
            <c:ext xmlns:c16="http://schemas.microsoft.com/office/drawing/2014/chart" uri="{C3380CC4-5D6E-409C-BE32-E72D297353CC}">
              <c16:uniqueId val="{00000000-0EF1-4370-ACBE-41D87D2FFB44}"/>
            </c:ext>
          </c:extLst>
        </c:ser>
        <c:dLbls>
          <c:showLegendKey val="0"/>
          <c:showVal val="0"/>
          <c:showCatName val="0"/>
          <c:showSerName val="0"/>
          <c:showPercent val="0"/>
          <c:showBubbleSize val="0"/>
        </c:dLbls>
        <c:smooth val="0"/>
        <c:axId val="2008038767"/>
        <c:axId val="2008035407"/>
      </c:lineChart>
      <c:catAx>
        <c:axId val="2008038767"/>
        <c:scaling>
          <c:orientation val="minMax"/>
        </c:scaling>
        <c:delete val="1"/>
        <c:axPos val="b"/>
        <c:numFmt formatCode="General" sourceLinked="1"/>
        <c:majorTickMark val="none"/>
        <c:minorTickMark val="none"/>
        <c:tickLblPos val="nextTo"/>
        <c:crossAx val="2008035407"/>
        <c:crosses val="autoZero"/>
        <c:auto val="1"/>
        <c:lblAlgn val="ctr"/>
        <c:lblOffset val="100"/>
        <c:noMultiLvlLbl val="0"/>
      </c:catAx>
      <c:valAx>
        <c:axId val="2008035407"/>
        <c:scaling>
          <c:orientation val="minMax"/>
        </c:scaling>
        <c:delete val="1"/>
        <c:axPos val="l"/>
        <c:numFmt formatCode="General" sourceLinked="1"/>
        <c:majorTickMark val="none"/>
        <c:minorTickMark val="none"/>
        <c:tickLblPos val="nextTo"/>
        <c:crossAx val="200803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Sales By State</a:t>
          </a:r>
        </a:p>
      </cx:txPr>
    </cx:title>
    <cx:plotArea>
      <cx:plotAreaRegion>
        <cx:series layoutId="regionMap" uniqueId="{338A68A5-3184-49A6-BC9D-AAE002157BE5}">
          <cx:dataLabels>
            <cx:visibility seriesName="0" categoryName="0" value="1"/>
          </cx:dataLabels>
          <cx:dataId val="0"/>
          <cx:layoutPr>
            <cx:geography cultureLanguage="en-US" cultureRegion="EG" attribution="Powered by Bing">
              <cx:geoCache provider="{E9337A44-BEBE-4D9F-B70C-5C5E7DAFC167}">
                <cx:binary>1H1pb9tI1u5fCfL50s1ayRpMv0CTsrzFTmInme58IRTbzZ3Fffv19ylLTmxG4/hF++LCxmCESCrx
VD11tuecqv739fiv6+x2U78Z86xo/nU9/v42atvyX7/91lxHt/mmOcjj61o3+u/24Frnv+m//46v
b3+7qTdDXIS/UZvw366jTd3ejm//59/4tfBWv9PXmzbWxcfutp4ub5sua5snPtv70ZvNTR4Xq7hp
6/i6Jb+/PY+vozjcFG/f3BZt3E6fpvL297ePvvX2zW/L3/rpuW8yiNZ2NxjL+YHrcEc5LlF3f+7b
N5kuwt3HlisOHGYrR6nd5/L+2RebHOOfI9GdPJubm/q2aTClu9eHIx/Jjw9O3r651l3RmnULsYS/
v/1cxO3tzZurdtPeNm/fxI32t1/wtZnE56u7Wf/2eOX/59+LN7AOi3cegLNctF999BM2n27HDWR7
KWAYOeCSudwlxL77I4+BUeqAMUaV49DvwG2fvQXml+LsR2U3bAHJpz9fJST+Jov/1nURb14QF+eA
Ci4l9GEvLoSoA0kc6hC+05j7Z29xeZ5M+8F5OHaBkP/Hq0To4nZ485eu0/s1egGDRg8UU5RDN7b4
sMd644gDiU+EJHyrNwuD9hyJ9qPzY+QCm4u/XiU27+vbUL+kq2FAxpWuZHK78uoxMoTaB0K4xBbc
ud8PW535tST7Ebkft8Dj/eWrxOM/myZCuNG+KCbOASeECceFhzd/WPmH7n+LieSuzbduCF7ooZd5
nkz70Xk4doHQf16nNftwWxTNlPWbF/U43D5wFRyOu7Vntg0MHmLkOAcuc11EAvYWQ4RwDzF6rlT7
UXo8eoHTh9eJ05e4DuMXxYg5B4JQVzG506NFGO24BwZAoezd5/BKDzF6jkT78fkxcoHNl9eJzed2
E92vzT+PBhiiZMocR1Kx1R76WHcIIQfScSmlchEH/EqO/WhsRy2Q+PzpVfqbdabr+GbzcmBQ90Ao
IYjcBcZqEQC49IC7DuPUZd9Dt4dK8gyB9qPyfeACmPW7VwnMSZbFhY5fMNmEiyGUE5fJXVC8REYd
EI7ATbhi62Lw+UNkniPRfmh+jFxgc/I6sbnQdRu98Te1BkYvqDtMHAimmCNAxtz9LQI1Bwi5AuG1
lFvdWZiz58u1H6fl+AVaF/6r1KT/xM21Lpr4JbMcfiCZUoLJHVA/q5ID2kYItd/IPUuk/Rg9GLqA
5z8nrxKeP+p41i+qRfyAKkape5/8L7ToLhyQXCgptmpEHtu5Zwi0H5rvAxfA/PH1VQJzcdtvXjIy
MGGakJx/t26L8JkQeSAFzJvjbrOgBS6/lmc/LPfjFqhcfHmVqBzdauQ1L+l06AFSf+pytZ+DdtkB
55w53N7lpous5hkC7cfl+8AFMEd/vEpg/sg23zb5ywLjSMmRtiwMmCsPXG4b7nNXFVgEas+QZD8i
3wcuEPnjdYZp76NY35v2f55lInzmBImNesDAPGRokNjgE4bUxtmb2PxKmv2QbEct8Hh//Co1xNdI
Njc3L4gJcw+UcoWw+a4OAJfxEBPQzAcgmpHyLIzWc0TZD8iPkQtQ/PevEpTzuChuG92+oOHi8oDB
m3B2z2YuUFH8gCik/4jR7tXzvs78DFn2w/JgGgtczi9eJy66aDcvGRZz5wA+w9gv/t0+PdYV1DQ5
CE7J+AKWX4vyX0C5H7iE5HVyZWdgQ7rrdLpfnX/uUwyjTB3qSvGjvv8QEzRmUNdxHEZ2eaS4f/ZW
YZ4j0X5ofoxcYHP216tUF1OXPd7kJapn9e39Iv1zgDg7kC7KyIrtqGX4kYcAOeRAGOJZ2btGgYVF
e7ZY+1FaDF9AdfE6wwAzqdPburl9QUUy3CYDCILtkphFCcABYeO4Ak1cO2pzYeKeJ9N/B+l+PkuE
Tl+FMj3diLXlgLe69Oib/8suNOT/wkYVGrnkXgeEZifbsNNM7fjpBUaL/rD/LtZ+mBbDH83ktTSf
mfCouX1B+wbG2eXwPfaOcrEXeoNUk3FGTa/TFjOEcg9rAp9QDP+lSPvxeDB0oTWfXmfEdnH7rd40
6UsG0vAu6DEzpc3t6i/Qgcagk8ah9N47LesBz5BoPzg/5rLA5uLwVVi0R1Kjp/ad7uImftF4mtkH
Cqtvy++VzsehgSLo6CCoOru7GsHCnD1LpP3oPBj6aKKY5x+vEp7zuGnM/8oyvrcv/zx2YyBkqA02
+b6cqR4D5CLfEWgTBMO21a6F9jxTqP0QPRq8AOn86lWC9D7NNpF+UYYT7IzLOJe74HrZ9KSQHtmm
T8DZNdQAwYfe5zkS7Yfnx8gFNu/PXiU2voYfvm7j6669X6J/rkDcJDeCCLAG353/o+QHCsZQOSB0
kZY+U5r90DwavEDH//Qq0TnfNM3mOuqa27ZtXhAfeoC4DNE0Ep+7v0VBDcmptBFyo6J2/9Adz/Zc
efYjtJjOAqPz1+mCVrfZZti8JHeAfMeG+5GIznZJ52P/gyZ1jkZpzoi7/XyhRc+RaD9AP0YusFm9
zujNOFPd1S8ZG7gH6OIU3zuel3mPQpcaaDeH0B1hsMDmORLtx+bHyAU256+zfnCih5fMeOiB7SAe
cPh+kloxRASIuYm9+3wRs/1Kmv2YbEct8Dh5nXbspLh54TxHHZhjgdyFttz9LShQUAQIARCg3Z/F
WajKMwT6L6jcz2QJzOukB6509/+maRAnbmxwZvT+DOESH3OyAM0baHvaupmFyjxfrv0wLccv0Lry
X2XIZgjh89sxvn7JajU/AEpwKnxH5yyQIrY8IMh3wMaRxwHb86TZj8/DsQtsLs5fJTbnm3rKNsXN
/Rr980zH9BGAaUOgtgjRJHo6CLoJ7ylpIPYwAX2OJPtR+TFygcn56lVi8kedbormRc9G49A6mjts
Rnbh8yK7MSEaU+jIufdLC7/zHIn2Y/Nj5AKbPy5fJTaXEQ7QvzlpXlZnwA5I6qLJeZe9qAU+pjRK
UFYwnbZ3fwvdea5U+zF6PHqB0+XJ/x+c/vvFA99vZ1ht2s3h3bUOD+4eePrTuwXAZROLoTtDtLcu
t7VRJze/v6WcPyjTmZ94ZMAWRbHFuNtN0/7+1pLyQDmMISpHdQ59PTYiiOHWfAT6wRyJg8NCgRwH
5l3sgcIcjvj9LeBnaL1COW9HECGDM+8TmFpG0YaiCEobCmfov9+m8UFnEw4jf1+N3b/fFF3+QcdF
2/z+lmETlduvmdmZJ+L0qpKEUUfi4DGFAOX15hJHaPFt8n8yktQFGVJx65Kg7dQhLXlpZb5d9vH8
RYiuTDfcqkWzLqqpmfiqpaOIRt/Sgf0tLGpeWL6mY+qcqkhM3SpVVlEdDyrPmvNM5KU1eTodRflN
pG0y6hXWKkuYHzoOJ7fOqKfuMotGJ9u4riiDa5azSl6EMq5K5uUkbiAKL0Wdv4+I3Q7FKsxEnZae
HkSevyPOVEHkMM/JdEZzViR/W02vMeYBpHsWCWzPozUCPUS5Quu1OWCK5cKOeLhGDsnjLpKRexsM
ukiq4zbnGT/OeN/UzvHchG08+HNc4pqFzA5iGqyffjxBlerx800mzXBaH6ENMjdlPn+A0Zwwt5G2
jG8SkrI09lvNBIs8pahVJet6HMK6XdVRG/LIs7g1l8WHgbOpoT7hsxzYaSujokk9rStWkwtYpAqf
PS0ktvBDGR2wZAyHn3C2E6cGzLZ8LOMYxRaNambdSKvubboKZyd0qnXm8pbZXlG3Un5NhR20MD3f
72b5NTbmuVxxlPAEmnldtnxu2U3a0RZzb8IJe056vV1mzZ8RD2gRekMSd/H7IsA9Nq0XRRoHHL2n
H4/4ZjFtB5ePoP1bcYFSlWOW5QE0oehjyx4jdmM5mVMxXwy2FBsoktWe6Dl2sovYIpqcs7Sauqu0
se058tCDk2FRnpYE3vqxJIKiDR3O3NRkqGALAFoZ28mUFsF1oOZC1Ee6KvNgOrSCvFHT0eTWI1B5
+pE/Tx7FIQm2ARU6k0HZjycfOVGQJZNd33A5QMvXE5EzSdeiHrqGH8ZuwOXXusOqV14jUaP9qu2p
r9VhH2u7HH6xEcjCkjnm3DBK7UZRGcypu5AmVHMiVNla39Dh5OTW8dhGRiHyUUe4KacbEj5zP86b
iZbeqCiDVCK2o+4qL2Uy+YVF6uJK5VFeF6tK6Jpe5n1cNN+eXjNjTx/YWwf3CNjgZtAniMoAtGVh
S7ohcGu7msdvY93W2AR2l9pYLHscmLC8sWa9dVXStDJK0w7avMRl2P1vFwtnRUATMRvnrTnjMG2P
oXMr2rRTI/W3IhMWbHgC6zUPXj/Z7STOWCBg95uwQ9CaJ6KARa3LvCbi2LUSq0+9KoK1NZZ/ijCq
iOesP+NjWur8F2aFLPcYkm4QjdQcPwbCUi7808iGolTFzL41AZVWfpi0TZl1H6q5jcvCH6qpgnCW
k/f4TE9VrqeVm86TdTWUZXDSqDpLQj+fZ3s6y6OqaAOvULYMWr8TtpVdylyFc+5TpkaYRGolEylO
7Vll+NU0Doaq+oWaEmSijzYAekFwUYGSNi6UkDjpu7AY2JlF1Rd9+dURWiTCL220XVVeEHRK1T6Z
HQumPZi21jPrOD7r7sxJSQIXH41Dy2S17gb2a4XmSyuO3lUEI0IRQnFK8qdtkY5pkweRLr+WNbSo
OmRN6vJzSiI2nbGmm7AcKuiz+UsejdPkeF1UD1Xkw+AP8jKs5sA6rnOezF9qq2vkhRtLEyCMvM8z
dZR2wsCjG6awhabeEf1lWSfp/GXOZDqknp1lxmnFWH0ApAsV4U024fzbFzcfR2DHRDLhpZntsHVX
pWhYs5ZOZ7BLxzBGgFHdPV65oTUNnqvHBD+hETxA8tgqTGzQliJPN2Mji6pcq74m/RVnem7f1XUa
1F6W5TXNfSsM8vE45HCufxVuEfAvvd0TbDLHDRFn9FWhEaI8bRuWJhyr76BUix4u7kh04i22Bgum
IiSqzL7OJG/q0Bup7ZSNN+hEZyesqwYYiqefuLRG1PDElMBvg1NRPz2xqe0mGnI2/MXmzmzGoePG
/NHGSeG8ZV8J+TVI2IxNONCubcJzB4YF+/RpMUy985FSMBzUoQ4cFzoMKUeU/NgczazvKkvJ/EvO
i7xlXqs7Yd3qKqpgjaK0KchhHTg6/tA3bgiLU0ZCh4eh29Jee2gAHrLea2lYnWWBK69GVmfu5DUD
kf1l61p27FdiHvUZNpEdeYnNg7j0eCCJUfbIxj7UfYTo4iRI0tZofo9DeO/NwaJy8lhas7E/enrG
S7vmoqhom/sU6N3hCuQEj2ecyiAqhqpxPvddYSOIFXVNEcT2s9m3HEEWP47IMGLbjqlieAnbu8jW
kqXZ0qxLBhpcBaM0W5pW8ZzXx3FJmTGR1dzYZF1lfdnER7OYUmhdMOQmpiaTm0M7HVJBjZ6eEl1Y
NhcRkAu3CasGBEGmLkx1xYp81klBP7ttxKBbbRkaAVqLdUZ17/QYnSQTZAui0ag4bKUxKXVZwdFY
EUEYT0Zh3tJVik6xTCUOP46HzKxDNQ1aXgTViG/FETNTnMJcNuvUcmq2Lt26Z40/wV9gur+Y2iID
wNQUwZULqGbhehKOeO8xWu2YEifr9PSZhb2xVG1dYWvN2Rzr69Z2U1p4U6ur+YtDC+Mfc0sTADLK
PAunwzmXpA3Xilnd8BlRao3lGJyEYfexfoY1KWJLYYvxISuNdetgNo9jWg4way0iEjwwbgMb/0KO
RbAUecixFG3rRFbri6xLoBKRogn+tV0fYwpNo91TkfZCR12EC4iuHCpcpJ32T6EuGWYuJ1lZn/rc
0bAO2/CWRu7Ypz4yyygsfmUWFu7IPJKjd4LacEvgQZaJl51ohJDl6HxqOoId0k5oD4iP4PuxPjwp
uRaHwWDpsfFkxiYseNYHBUIWGD2s0lCPWfvBkY0bJOug5S6MARSyv6zRpAEPkFtQ/HYs4Kh2sIXV
UGApx8wtoCvQIgNHmI4GCCuJCV7UlKj+0ta5hiQiTeGbUtmaPPXp1eaKPbaJmLxxAjASBJfk/ZxR
IRxsrNAep09RNMks8NouZaUfDHaQXEg683o6rKJalq6nKFVJ5NV1FVendtaxUXgloh3rrA5zi58H
eeQwvxr0GF7bcWYfD0HH5Sp1Cp3d8CSb68tcyxwXec4kG97zntjjvHKTQonSrxA/Nt16GITbX9RV
FIzak7mdk3fMrolaFUWtiJ+MbVcHnh7dak68qOhrPvrhmPZQhn6uhynzRkskPFkrSjp+JbN24qFv
j6QbuqNSDREJEL8FYXvSRg4iM9+Zs2GekdZiK5YnYzoFnVc1ZSLXvXJCthK5Nc6fBqlp/KXjWRis
GG8p8Sfkp3ryZNg2aqViOqR+KLLwGI0g7arS9jCfBaqw7SMykIiuQ6txI/uwTHXOP0+iD1Prs9L2
OH4a25G151bTFtYlPIbT3Yhayvrz7PRhob1SaxI1H9U4Z+lREIPdWM+au7n2VKoZjXynnpvK/Uby
xC1uIlrqflxhq0zVreraYbD9NBsakhy3QVEJd4U8QGTyKMitVF4o4lhpetTLkjZZdBu5BWuxyiNh
bs3PZ6Z7bOmZ1E0ZfcQdC620D4uCl6Vz0qkgjrJ3hRjTKjxM+rAd+neDCMI4Xgc8HzpxGRSUVScy
4VHorrFXJEu9sp9tuPWsceNBeaHFZdWuoqCek+lkCBsrio+GOIe38VM1cBjYvow78ae2OimaE2yO
wQr8gSFsIRddiahLee3E3FG+z6jj4KXdvmnFcYbPcA6U43Gzbnj1be4qRfvTRNZlSI/JaFmO40+J
SDvnaCwSkmee4L3xi7awYkwnZAJOZTMGE66X8BMRKRG+n4ZyKJ0PSWAlQ7Z2UmbR8iTtJuX272XC
RKy8SinDSTh1K6L0ixMGgTWfcZ41WClrqmCyz2G1q0icWSyonewdiauYZB+SZEjc4HBIYAjCQx3j
JEXtw2QZkabeymx6aIfRFFcru0yT2l0VrW2J4k8a0gLPy5NMqc9d6FaVXyMPxspSt4vhQXwiI/Mj
kB8hi1dVysT0PGowe7+MSMHkOokGs2Isa1O86CZqrasid4zJ530buo6vhlZjA8wF4o2jVtU5vldu
pxq1YsbyVQnOSDnwJU2Ap2URQZJZkNjAQ0oeUfEfko1mnQuuEnBJVmfVgMIqUjfit1WFhKZa13GM
SMsfXDI5lR+7kegsIMi7qvvSJkUXF1gvK5r1UdTNnIznbuIYkWMgXc5XEjsLT2D4qPoWWKPZYLK2
DPJisvBepnKzNH1P8FW4WLcaIEOPi0kwx9186pqx6hsItwjvibHU8ioVPFDM54MCAeSVTkSwFrvd
E8yNwk86iWUmF7TT3WJ02DW1v4txlZiF+RdrRHrO7Li2rnZLbW2/fr/I2++BKaDpuUPLHAKQwor6
b2ksy7g+igs2YdIVnXF/shdSFsb2FRLwUCtPbIHSc99iqyHz7urwpCBqCoRH0qif5HuVdxqr1NM8
w1doCY6t9kFzBL3yUnsyQW+Y4xQcdNQJ7eqb2q6gLqFBsGvbOUU0Ro7ml7qQAzmeOtdk5/YW2u32
kEGaYX0kjzHiUDiZmfwopwj7NCS1eUzEI4k3J13ZTvR5tmLetaeYKTPLu91Iczd1kBKTNL9C4rrB
OJxcYdhdTRsZ0bcLas3DjH/ojGnuHFq2KNLkZKbCGcuj0AajZR8Ocaeh0yoJDfPRDMA37h1afSMy
LLB9GoGIFZOvewS77xtw2eYHaW9eeB+6eMkK26hDPgsjf9HJMBo+d1mYhfG6CF38blQxErLjtJkc
0p6x7V6Jk0a1ztFuyVXS1xBnjFmKH4EH0Hh4UsYp/HxPqlnanxG5JW6/KiurLWLfbsIADxdJhMt1
V21WgtvMQBiAsgFMUXfi6NCocwf/ivfSqZOJu04RLI7TKVNNNurjlms7z/1M8SzvvaAJQRsSRTp8
P2qrBi8IGkV2kVcd/n/KB5Bowh4IqKIKXH520adtAFJgqBM8nUSh7r/IIhiRBQTTbPb+oGDKk/XI
KgoL49ZR1rmHWQ4Xmx+OVhGo5kQouKrxL1uOCexNmGmdpsc7Ojlps6hO1l2UId+9nniDK2WPyyTC
chyxO52ptJthwZpgSIP5C4tcPbSfKzZEgzxut1MfVdhgiVg5zilmlIZDIw7lbBNYubbmZvnIWJpd
A77KbPEtf+o26YAVIB01823jmOKlxgbH96sYVKjlxdkMXhm9HWmhPFAWk8zPWUlqfENOxOSwvega
7KstyTITkdXBuiuqOqAnYVDN+I15S70FSMvBGlaCp+BLA5Ii9c1z5E6F32YgJsRZnkqjTy0fYpDw
Yeq2MJVMBhN8XjPB0iRrZLZm8bqYGaqAdm4KLj7JihDDUZPHLP8aEJ4F1ukQNHUdXyiWGJJSd3B3
504aMNl+5KCxpuBwDBJritZyKEXWrEBdEMk9BySQ/MpDRpCSwxkqgD9bfMasZJEbt5GLwGy3mtYE
m2+7kkmrwUSz2I5ZfzrMIg+cj+ncDdZVjWAarMJcVkp+hb3F/rKGcsYKJNw2cwjKwoLxR3ppWKos
RryKyFrleii/SjVFFfnGx0xmF1JW5RSsOdVNa/09xCQZg0N4NJYJr8nAf1u+mxGn/gJGckjbT3ZY
JWHoB2Ji0Xg5OIhtqhvVx31F/2oCF9TEUZ12fa58i85N+mXmHeXa6+AdRiT7hGjElI4jVEc67PI8
UdTv8abl9J4zoDI1rnYz2WJZlQkIYh/350xmWnfmJst6Y//UFBprgujfKG/c5OYbxR17HyTUvCeI
beEbUziZLwYM7ER+iMzd1DbiLCihyiGixeBibidSHiZQVKOVKjef7LYsYkpYIoXjsPhoy4cbc2qF
fj1ONXM8Qmvb/dBFTjhob7ALsOd8mgNFT4aqMFoeWrOhAxvUifDCEZa1J9VsY39zG/WHC/CWRvI0
RqXx6+5BolZwaRW2inW1zdiKOJmd1EuKsuMf063BSrdEY4XzOtgNVlYZErKpZc35Kg/zSgdeVMnO
uupiUWLO7YAqXn8a09CEcREf8Qynz4xY3Z3CWTqFH/EC0RklL6kpM66KYTR70glmmsaeiJoizw+j
JIM2rrcLAh7YGL0Ut+zhd3lDrOQsoixz3F8QX4uEHlwO7AN2MIVxk+QnWjlqUUMAX02vIq0lpHbC
cIQ2DBpmtrK40aCsB/ESeX1cGdl/kd09zu3M43EzDY5tbG96XNLvdTdqa2gcUFVb05iAA4YUyAOg
SU8/akGgQ5tsHBfFs0BZ4f+lSesfVKgGN63cAKHk/R6x01FrvyoDzt/jv3hgdreSkQG1ixMgrHnN
AdnOOD4ty2MKAY2n2D8uzkO4EuVw7HP6WJagZxT0bRJe4Y4FmLFYEBOPNw3uuzycNULnX63zzw/E
2UwQB9JVFOSiWvCKaVTbJMvt4LIaCziKMIXHP3GmFGZup9lPT5AY2u5HecfM0FxfI9D37FL02C6J
zDFLeFi0mbzcWYwhmg1pP0k2CbEeeeP266QM5vpjN7ApWeVdYew5q2EarGbm8Ee/kOjxTodESKXM
OTrmKIG7w5ZlsUnZ1uBMrLrMtko1IK6Djo9dGsCux24fA4KIdxM0UzE4B4QWVmQESUpWdbPfV8js
1yJnWtjeCNMy+TD1Fb4O/QjIRTwx5JP+sK1nlVsz+/QkljACONzXZAtUTNCFiSMBj/cN/G7V0tHq
L6ImNZZpvguEykYU3cfJcjuO+5eeT3UJFEDQdGPv7iEyl0U+fp4zIhrBscTuYuf2xjCqEs/WsKza
qxv8x0f+d88D5W86faAYOKvF4ccfP48NAZjoPk4utm4JQbJBw0kz6EXRVMZhPP1A84MPtik2BMpP
pkEf/SgcjOaCzxymeYzrWaTHTmHVqfCdPHfYV1lDYX6lgj8/CtC5qODhnDSSzOXc8oDmUxfK8Hgb
ivQC7Aj2Ea1yvDw9q0VtDb+ODg00WlNz2QduJ1wWUAq7jYJkLNW1nYCm3qkVlakJFWuWm3RycPsi
9+2c19TxnDpDpcPLEIo2fsuK0fmcDDaM4C/k2raIPFhwcJhYgrsWb1wE5+J+/8cI2zbqRU4cNUf1
TO2oOaRiNF0SHQ5XdvrvZi5QaPd1E4LzVV4ezMhivVaELcnPEEWgNSj0dVqCkXpHOTgR+0MeiDDU
xxNiFqEvgjFOyTj5AUUp7K+mqnKkZ3VCeVEd5lk309a3tS2bfOXWAhTgOzYSzeQHta0zphJJEnsf
FDmpxvM0jHqFVp6ulzEBV5OgheQYCZAT56vMSkpskV3g5FgYFnnpNtxB5uDCick787pNgdK71Ryi
nMKlIGU14cnQUwuBtqYu8peCdlhuhH6ycy5Yk5kg09rGXCWKtsDNLl0yx17atDmZvaKpVRGvZOlk
SefdUzEV3Hnk7QKsu8gOFb8B6ztXrgkunKoH44WcJ5X0sHQ1HpmnyHb6UxtVlDj0szHH6doj1Bmy
JPvMEI4rdiGnVvHyJJG2ZUiKpq/B/07b/FANU8OqVZR2OehgMEMOqh9eErWuDnyr0+Fg516FC+kF
/aAqVTrDYVjB6FSfxKT6WX9CHcRU2hCb2lRe6LZBceNTXIIFD1fY52hzWEd1RUji5wTB8N8TUuLG
PRVyHOhXIsapdS9A5wXlx0KpJKWHSdFYNjJ0HP4YWx8tZqjxHxZ6ArarYaRzPXm2Bcak9xEyEuH6
E5+C4V2qmraZPZTJhxhZvnJr1GvjyG6OuJ21wzdp5+kUrQKORKDwcqfI6z8LMEJW57nbUuDORlao
04fynZvDnyTrIsok7RDd38V/IORN/DoVrXGG262R3UWphZOlSCVrhU6d0utrW+YEFjbUDsSgaUq9
IbV69QnORbtXZaGsbJ3HIhReFIbDlZhikaymeAiOYt6z49hm80lej/0xGBZ96dSS+qMS0YUTt5kN
LruvPwXY1Mc8FLrxoH3Rt6Qusz9DO9arUZEAOXLG2iMk4aC6aCHO3NL+qlOoYzGU8p0c4nLl8CgC
urZVrxNn5IeJjrv3c5K19iGyhfbQnWyWYcfK/DoquytKeHlWcys8y/umPRQNqHE0yITHve7UKlKD
+9Epowr9BmV8EzdVsMqiMvQmXhQrEajq1J1pvp6CAtXpohQcP+1Ohc+TwlkP+MkTF3nit3rU3RH6
MYKbSqXZUTqSbPYmlYh1lNj6quSoGXgZqKPGs5gOPw/j7G4yqxCgGLr80+DS+NCmrX3KbRXFnrYs
9o6DPlzXbYMrLBIn+AhSM0YfVcvUDUEJCnkWKcllT5MoXpdTYR2SJm8vm56DCIEpWDXT2J2ypp5S
T+SD6weOCiL3z7inajpBZ0R33VCekEPdlS3SrziPJq/H9dq3biucfGUFVn2aK7RJrDhpk49jz1Lk
b7k+E01LKj9wI72xk6Z8N+LKrrNGErNDA2Fqu2E/nI4Is89tJ+1PwMpbp3HKIrpyYf1uyDCwwptn
l0RI50vrr6GshtvKskafxmTeNE2iKTodSrQ1znODnRtlZeahk6vuVuU8pOOp7MIq9GxSxhcTcWCI
ker5/cAydor/TkhWntZjVa9p2dEzkeWjBwb6ixima7sLggtOoD5907UrUJ527IVj3jsrMWl2yJ22
uCgjXv81lSNiRRtl97DxuhS9GanvxKEoPatjfIOKufYYzYojDQLDo3befhxJkX5soqlN/bRtw89V
NFV/1mOZU68au9EPSF0mXgL5UAl2wQVC8cZo9vnoDh8UbaLML+Y+2SR5OXsoPuVfcMN65ZVlTz4q
FDdOSlq7flfbwSmPC75pXDm++7/snVlv5EiWpf/KoN854G4kMOgHLu5yueRSSCGFFC+G2JKr0YxG
W/nr53hmVlZGZncV+r2BygKEkHzhYnbvOd+5HOFDGNghqcabUlVRHazolHV3lxcBH6o5msovMkCT
0hSoG8cqG7f1Mbf5dMBCn+d1OezkRkW8fwQ/BObE9vIl5os4Gu2i4yhM/kUm9MWif3/ZV7YXx1Wk
vhpX1v3wOCDHXhGtW5Sn/lnJMqOVTFc4yVOnqrA35pSXkziuqI+jqiNb+VIuqvyaOJF8HCXlX81u
9h8aF3hjCI/vUwAPxxA7RbO6VT2j7g2qzC7mLpDb9HkP+XJM5oiCGIPMfel9mGIvc1iRwnEooFNl
U35DYBjVYlvG45Rp+QLmLMHnN/FtFC7JYcyT7R164fpYLr28ifxcPjMm93O3jWvrCJZctOdsuCxp
qG6lTu3jslH5URZF+i2ZDBaHePXmknqGmwda20OUKH12ktjTYF3CoScVy5HmLG3QtoP8hBxTnvZA
0jtKe/lhj4v+pYCk877uhfqIDb+7wc1G7vcoUGCr8uEwlzS7g/MeJbVi5dwUu18SXO9yOexdwB8n
WAOPneNirUGshAdpx/VdKJ12aPr3/U6WqT4DoJqgWjD+sUv2kmHNZq5NyFTcRPAiayP29KEwXQLH
QAbfAxqDjbvzWboPZe2ZQw3eEA2pvbibssQQ1YZ4StasqrkU9M4GonuE+jNfgtQvr7OSX/A3HQTo
IXrdGCqYUZPx4soRWGgmouG25CL+rAOqbT33NrwHgqRfhtiY9djHc5LWZR+Rc0q5LA5lyJbylvWF
aOAvp3tl4MM3RbkzUo27Kk3FErpceAAO4eyDleBY56FV8m4tDQyoyMnInpZ0ZQ+JS4MPZCkHUedO
9rztSyGfxm4wrIUV7fszGyY+NIFcMpCalEbBkZht2598sUjdH6+lR9iUq8N80AlHjdtuup2gFci5
jggqlzpjmpp7qDjjVic66j5asnNf83DO74AR0qixEUrEs4JAoF6zAV2pxDoihcpyFE7dAtzpxqic
3GaxC5fx4554GpvKuzUs9W2MxS48FSmciuM6+0U2vdky/VwG3TSCDOrmUlYyoN081UFauuchAc1T
xX06f+A+CvajRQM81iFZ4/DOlqNb6ljCX7gnM5bTBuDe3nAobrdjrIYa05SmWxV4t40Psw/yck9w
+JfQsQb6EZuu9JiIM/agVDoWqvH5mM8xhP+N434oYLvWOvIxa9NIz/3d1MM1rtgC+bnelVuXKmEe
hhTR43SzDGnG285m9n4aIN82oxvcTdLhORBNXoQ9gVQ3yug0dVLAJtUZ8VVs4crnKlaXICsdqdlI
060i6ZRAIoSW+BqJQH43JUqTRAofHzmnUdJ2po91XKOE6wNegxkAImcr0udPPkg5QWGmCz/MNVZS
hV/gYTAgX4dFaC3ythezqLJujVzZToxEpG9F7HiW3UeByfULTGZGb8a1SL90xnze97576XrxuStF
NlZoE9izBXPS0oLKY4jNI8QikUvYcmQ/zz6eLzIZ9MH0sqzFKnZREeCjomIsY89ymfNGytxXuhhS
rK9GsW+qo/uB8Bn2YufoPZzPIqwjt9m12bHZpI/l1ifPBGCTbAYDDQrXAy6YCpye/R5xMX0Q67IV
7UZId7fxhT/rdVNdq11n6AlqdkeqgLnyxPi4NvGyzodppdnzMoVRW6qenyeaBffx5NJzLGCm8m6D
qV6iLWrimOL5U5ro4+7ieK5Cgk24CUuzbq2Icn4B12jVSUhLq3KzoavXqRvrNN+MqMqIUbCtADX1
acvx5VoP8f15p3gQDIUfvx5H+H6NxE1pq91P8oJdHpv/kE9zM4yoL/AR6BN2neGgSZnXehH96zh0
0Wcogu4AmKg88rBkByLI+BiMoawNy/u3cGEv8whCrUPjdiAxHd+5jRWvsoTz9ySk8lbHCXUVlW4s
6gGi7S0VMb50F0J5H5yp0YQnDyPakltjo+Hb1Cfk80S76G2KEntn4Cg3mVj5KYGU/QpTIJ6ua5oT
VTKG631OaYK6FYvj9SJMv6XTtUn3C7vu2i7evnJTBEM75wMMWojcPD8t2TLwepODU/DAdg4Rk9gx
qpMZ60iVB8OY3c9ii7/2fa+mKp7xGapxJn1RT3jdGrIcronei+zEch2TBi28mSVqram7ZYKrTwJd
W19PIknCz9h4razKoLDmJlBT3igxBjfDmsUvV57hEO1m0tXgA/GQZW78qk0hsD2g8zxwTUFpcZol
d7AU5Vl4wC6V7FDS3LlNi69TrNxQb5A/TTWY2X1TyuNewU2JPk0LqKvfDdw0U8EpNO0ymuQW4nkH
lGtwO4p54Kw/ELgz9MBIr86pR/9WBShHVDPTNcjaYGVgkcPdZK9qm+d3Ioyrpy3ZmjkM1vCiLYme
4foVJWgl1HBVrmw/Hy2Kqlusfott3dr3I0q5EqUn6JKAX5LeRkGt6ZUQ9CzMRCuFQfIBpAwuojrt
WT+mkzl0JofFw6Z6nFCkyfbaxpqa+nWIUVMnC93flk0v00PMI7s16CrohCWtzPkuahnpbvbHIIzH
JX3IdUKLaorWIfkyA2cNltoEhRvpAUbe5ML7qec5L2t02y4Vld57tumaYMPNfNPDVyvmSoMyT32z
GE/ZdPYFhaRTbxoNmHicDVSrpHLAz0t9kFqsw1vXTSnvGotbBfYOUkLJIivjVp6rQ4dabTnpXgfs
l23dnMnaHlwWW9pshQf4TMMYntBRAOBSSyN9GoTj46jFhPOQBsC49AjCGt6EAX6Pr/+DBSUJcRy3
cfFNKXqXvWUyi/vn30TkQFyNEDWXV8k2jqgTZ8T3rkgBOIarP4P7cCffu5SGLj+C995xv63RVg7v
Wtg+6KulgAAXoLOlo82xRWA5Vq+6h6BQ3CkUlO4SjmXo01p3m16n4w7XDWcLW97Ix69JoRfDmmxW
2i/nROPr7RUeEBzHWw0YJ2H0OVGZGPI2B0A7JLeh1qvn4KMGhRoHvUO3HoQoRqzHgeLNBDrqPgZk
htJdlFgxfTmgiCrS46AI815AHTZQeIcaqJeebdp2i0uHuRUWJFAJ7WDhxd2O0q9oaTDnFO6coaXQ
VZSuZdoSvyfpEX4kexWFnl8CUD+qijlCcVWqce+0oGDY93CZUGWByu/l1PJ8K/vGSPAzrtrjFabo
nmv/K/1/Ww6deYSIa26gTw93PKRJPcW5vh8j71krEgaIzJQwqEUwP4+ls+S0ooQjVbIIn1ZusdNy
lCoEXekKYReEhsz0XewhnbC0poxWOfZR3ahk90/bEFiHAiGYW1Sg6BDpKLLsKPNUsYaywn0Nduq8
qKLOrtFTMQ1T1uCJ2Ms3iSdGy2obDVqDZQ8MuhE5Rn2LckJuN7rPJvO9C9xVcUFFHS/1PvXdAfkx
Q4MD01EBaChey6WmYcp5m/pwu4k2Tt5nM6cQLAmNO15DUBwydKjEbxdW5KFu4jDT6g1IBnAOsLWg
/2qwJqtBgRTF4J0gbl06dN6sSlfU4fcORqCrbDKRlkz5fBt0GwdirzOEPsD8CQakJPZ6a4olK2GV
Bao/Ik+BE0NcF1QJmL+bVczrWGsIZl93gBS4Nmj5QQchx/fcxSGPhHv0ONlNWtKibEcwHz8CQFUQ
D0fR3QVYhrfPaC5t/4GMTF6rriQeblDB5LcyJdnwFUtk4o+JSccnbhN6D3yz+97JCEe+sLsDRkc1
lJF9H1wlhtC+FC7Tj1bOPb4C4nVwrQnjWE0JQ4hiysqnCPIhacqR21ME0WJoLJidTzZJkW/Mpi29
WdJxBDYps+eVdvyg4iV8y+UWVSUBH9nLeUdyYNt9hVyWvyDrGQ9NrDeDsNm8ANwvB1OaU5dLUHPb
sgNT7ah1+LjlfEU20A3XYiE+PsC5gv+LJPewNZ1JDJbeADmMoVKCAHtMum1FUbD47T7RQt91cWSK
Jsw6QQ4ANMRH64gCDa0WfEtQCuRzKvuiqxgK8Ic1uFa8G56hvVSoqf1Q5RMtgclM69A32NBHEGGQ
Sx53BgWg2nMh8nYyAP+aJGRDu68Of9NlwPyAszDRmET8Yrd+aWO6udqqzL8TrBbm7NQiRTOvpnja
Mqk03i7LVjQEA1QgFvP7ZKbxuejniQBfop5VMqLlOQj6+Kufh+nWBWJ7BEM41mDT4i9I6+gF/gcp
fT1k2yhrYtPBN9r6catmWSja6n4oZqy/MpnPYxT77KBym70GtBfuAuVqSiAGcOarWbDofShBYlQM
gMiFg3wJW2Izj6agjJG2WGmYsZZFY/9xypy0NfZNVHWoz5s+kWtxPW75g00sZOgk5vRSzCx5W0F/
dJXR83uyMf4mFecVHlAL7RGkJwCuzuCSn+V7F9iwQ23lgjpA5XEvNWJHG3SXz0ung5MccVM3cpjI
g9KK36psRQZFkukOugC5CWhYvEIxHggugy7/KuI9aV0abk9G+vg04fkEcT2awl6rtZAB6Vkg8ZBt
K262pF/yZi8DFE5sKN1xyWIzPyHFOzQS4lYjcamn9ZpkukX5Ep0Xz3swizZ666l3byVVUSU2HSLS
mU0tK2b6C3DnsEmzVL0UKPePUUqjrxxk/FuIP8mqwOHAIYrwhixQce8AHxyFUbjrCv0F4LR6FDr0
tCoUDyPcB/tj2QUTKpooZUfsB3JBm7ElTUEAzeCv7+way08jxI6mcGhUVmSd98r1EX8Nijl9Hvsk
ZXUKVf8kxBLBogMBOiXJN6+h/st2EtCD5FdsUBMzDbx5pKve0NFyJp5kuvE0e1Bjv2KV3/AAWTBT
ckUuG/CC8yNb4TXACOUPqQfi4482RoYkbhIeOtWfQt2zcT8BMPfqhQ7OZt+yJeXTzcgLptKapjJU
QVOYLLUSi9cEygZeG7iNsYyGPGwABEY7ysYi9EMtp1yG7qS9g4pZ5bHLDmm62OJzviwKi8oqptnN
WMeyPswa1HngJ5rA510H0CYF+wVMGmU8aC+PjDZuGuD1aQZEtRf8R7gGnmwNjFYAhO0mrJ96OKlD
N4FiEh29wu24BlfYIN3Y7eH6wSSFQgszJC6X8pUXlpqxgUFcoO9DlGlw42Uc+aZ5s1nMaYvaUCR6
W7/qaTeRr/AqYvC15SlKsmoXPVaGG4r45ljWUKyv3yTNu7Ccj33nDFk/6aDb46waaDHh38Dok9yd
A7WhYT6PfqNzXruwLIg5/Gt77meHHK4hCBAMzboyB7DJkc782ZuDVFaoEOmFH4yLa7bJ/Ma4JNki
YZRvpE81kDQTugABjGGERfdvPsDP9vb1AwAUQHgX09fhEsIU+vkDDJlHNqobyPfptw/AfiNP2FTO
uOICDl/sN6f09/kJj785j7/NAfjGBZI1Xa/+8uN/fuQM//t/17/543d+HZXwz5/uh2+Sb/wX9S9/
C8+huo5F3P76Sz+9Mt799093naHw0w9/G+fw3wxsePqx6Vn9N//40zSHn8ZZ/GPizHXeAR4oCD7m
DxTgb+Mc6i8I6aNN+efzwf75V78Pc4giPH0lQSIovMasr8/6/McwhwBPB/2/KQZGXqMqv0bqkJD6
fZpDirlsETzc68A85PLh9v/H/4Frex3ogDG7mBBa4Ck7YQFKA6zG/2Sgw1888F/ZBcSUcL+RJERk
Kb1ebH/ifRTCAWLV2l0WmyBqbbETVjwBil1PxJoPeZD529GZZWrDcFLviqfmZUo3B66sXNZPfzp6
v19mfx4vEf18b/1GUmBgwfUSD2HM59fM2J8+Tbp4MZW9Npd4XaJLN+0LrTThaOidUSCjjU31OzEi
GCrJCrXWgK2wFQDcJil2T7J8L5UKH/AaPQrbeY5eAKgU0dHnGf0RgRt3/+ZejP/CK/zKfiB5A2AI
hFxYxH9hP9IB0gTARnVBMqLrmhz5jheTYtc4KOJ5hoi0i8ZmIOiBd5KjNPJTmBwZ9uEIkhBX33u3
bVE9BCJrIEVzdEOsD+GVyWwCMs3H/nHSUJbR4GwNTJHydevXM7IgmWsx7yK/H2Rv2PFfn4e/nwYs
MSHBichxbSDG9fNpID5AAyPm7YIAdPnKuyKKq3SKcWmIRbtH62T5LGg0v/3rt/15YctCyJBAW0iC
ND3mA2DS6s9vC7GrS8XWLZel2KMLSHd9gYGP7ADtX//1O12XyD/xFb++U4mg2JUbQ1bqOv/rz9eZ
WEBKrtDWL7Br0y+IOsn5SFXh42oSfRuugLDrJPQFr2HEWfbvLpq/Yl/4lgiuZhjRkWKcefLXtwdo
M2ADgWND1ilDZF5nXyY8y2s+In6xtWgAeOVDnPqjnVcLM27i5AcUBCRnSp/euRwaQJ3YEer+CIf9
BapxnDR94f0PERjRhAFshzqDBSdv8EzVXf87cObvJwpQFZYN4ECI+GEv/PnwhbnOliyjwX2kKfsy
oHDuqiiY1JJWiUcq+db2w/QVsD281n0FlIxNfajRhpBfFNl3Xvu+IyjBRvNjAMr63WSiJ3i2xx8r
8X+xloBV++tJRhoQF1EOOQUhroxcE3N/WkxyWQwhuPTkfkzBL5ZFo8p+P15zWuVBGa0B0q7hB8N8
pjHtoycQrpbjFktxnFOBhPi8sieBqTSuIrPtPtmR8ZPfUFiJbBUv8MmKhoK0rTUfxwGRywStER23
5WJFsKGRQs3ddVE5Vuj4ARHFpmc38FPmp3jsHjv4Y66aNVkviq4fVcyCpMlNjAM5+BhrQ6r3vQpt
Md7NfVa80xDqbZ8X0d2O8qesbdijisU1P5yCQqI5sr7Ym8hmQbOP7pvY4EVqYL7oHJkiB7qt+oQp
J/HHtcf8niMlQTRUez/RryWCeZAwlzX4rBl8dAH59QSOXZyitZy/D0bkuO8TNj0PJXWkMqgdbyWV
uvY4Dqjm4/IBfoFrUbOuhyhykWlnII8w7CxCTLWJe9qyLZFQRcuHnsIoboBjqxtsNbGtEcbIUduT
+c2xsD/HshTPGRSpoy7HIAboy/YvRc5lu4Vu3A9mKrpDgKL6C6R1+wsQKJHVAJZCXS1dbLqDUyPH
zWFt6zuji4PktG9mlbCbBb8KeDWVHAcaDno1buMYQBexQLt45vYqVTOtExUsDILN1HZXzPGDTaK0
GTYJWmbElaQOibLldnQJcXc5BISZAs5cFWMV3BiYXd972sfx/r7ZwF3Fg1JiKeffYs9GlUhomVqL
8KImBaYI4tS6H4FPKQoOZQCKMMYzfw4x1eE0+iTRtcY5oDBkwhICSg9vs1koxX6o5smuLeYgdGEt
ZxXRh34Nc5AFkye2b7ybS3WXbyrBFWUpjzZba+yFhzzoR/pgcOvkXb0WAn1/lGCMw2GZB1lWKLoh
ubQO7kQd0DIq0Q9QsOWAzSiSJ32JiSQHO5OZtRtFVXDIlo7tdbFnWDGXeIKrz3oZzMAVfLc9Qg0D
s827ofgl0IYMYRPyWAG+KXRxyeAA0tslIYpkY724bd39zRZidYNZ1fUE2P1m9vVQym0ZDn7Omb8J
t42JOoshANTEZX4+SoTughqnNf4UCLZHDeTgiTX4LwweYI8EoCHUsnwaGSvZKZGlmtsJQPfTrlUC
cx1SWnTubb+RBeZa3KsjlUYsz9iMk1t0NvF00AKfoOVq7va2iNyOhmT0wt6zAvxMG+BWkSCzIn0r
MbVrbjqadLohIDRFNZAN9cmCmUz7DzSZZQ7/RMFbQvy4X09ROKQ3qOSnvAa8tCbNwAfa7JpO6Iqt
FCXyiXZM6wRQ+Q4hYtyDc0jn9BAJCoKA9CURbYShKvzUD5Ht2qlMe4w7wO9VUQn5ApdPB9jW2QGi
L/yK4LNEv+6RhMF9FF+iHbNYhqowaZB89LON9SUXpefNgr72PtMLtqQOyCP+oISInhwQFo2Wdzgh
S3+7IkDnDpvN9uGMvLr6mI5x9iVzFIJoEeHiRXAGnFu75fuADw+yCzxggqB+jdawHRCWfJ+tRWUx
dqN5RttmvwrZJ3BGbEfbAtOf4NEWFK+TzRxx2UWa6ALvKUk/bCqLPkYKDkNlcyRya4WQoWsRzRqH
GwkLD1Y6gWb5MASkfF3C9XpxjuO6Hcm89duj86kq6nC1ODe9XfDBOJiL6IwdrHxFc42rm2GVlE0R
lY6f1FbS+HGUoGqe4mIp05NLR6vvlVPX4rP37jGbgty13DK8Nef7DnMgZmoHGEKuX/760S3WJ3wu
CEuXNFvwLfSKZE3VT3za63IyuHXE3E3DhwVZUpimGlVBh3/DmhqrpX9Yo9RD60hEH+J0I62u71nQ
QzccQr3CJgTXn7TerODo8DNMbXwjLCAwSa51slrYK2yT8hYE91BUiGNOuC7gPn+xCzwAeBmjf0qU
C7dzhzJ3PHMBrvi5wG5x3JYwuqxlt75jOki+XiN/Q3zLi67UZ4x/gWblJVlhbgIcP4oYh/Vq3ftv
0zxlj05vkHVXjHKaPtmcddsN7FL2C+Jm1zVkWOe+QR9QJO0AGm07CIzY+RSElB2YFR3k4xTLnJe2
fxpAPZ7hSY1Zk8UyRg5mzlJsR31cvkqMGeraOV5wm+wBTcpTuvBo/cGwIPtbjFPGvQHSBdfImMFg
OcByMS02GbueI6njvKblrAx22sSEKL3X8bMsgREGHmX67V4qGX0H1uY3DJmLiAE1E+OlHIuuMJQF
rXwSOC22DiDYINZtjLp3nsBMMNtaFWS7SRlEjZvdXiFH+NHbfhTzxPn9krv0LlAQ7Nt+XZg5d8gl
93WRbaz/iEpk+x6CXwXpSIbNVFO/WcjE1hQrdgG/Ps8w+Ie3iO9JYSrAOJN/EQosBV4MAFDbIxXe
3QZU2K99FwYGWdAtn04DaO8PbgvofpTw0Id22DUu0iFWY/LopnnPLiwXV6NemDC/T6MeBKJHdbO1
FlwBkNxiGa6OImFYO7ZtbiOXONmYGUDOcUekHx81dR1pPIUJUVMBW/wTpNPo49hLXGvY6cpXXOts
e1zKBSPAdCxKpOFYD8DB6XfEnW0RVdNkyEsGJ982FmxzCtRqxlCGlWJMEzZ3XNGtGBKcTTQO3t0N
iZr4HZGiTx5Bpcz5CbMH4DcNzgXd/SQDYRu2wd6rUI1pdT/PFJ9fIl942Ppi6oG9huHJrynue58D
X8bIl55gpC+q0v9VUv7LocD/nG8ZYVILusg/Cvi/SSl/PJ38b3/zu5BSYK42ElgY3hfGmKgCjfMP
IQWP7UQGO0U7B8gkR3OFf/pdSEnQuvxDOAkxIRNTzJChwkgSjN/7n+gmGFn3c3cB/Q/hAbwYhuOn
6XWKzc/dRQnksKAIs94kRfdup95VsA94m5PwDRHIZyR0bjCpZ30rWPTmsc+B7fAH2M23yiOetgdr
fEos8xgji2t0QeF+KjVAXOlDEMPBihipKcFxU5M3vCdFw4sthPE1i8+YexY+BTFAoT1Qukkw+KIW
xXVgQ7C4VnfkaTRD8Wj3oUHolJ0Xi4GTaHiQpgeB0G5BHDfepvI2BEa7GvaAKVqYAKJSBdLCneRG
9g/ZRrOGE4vUurf6YzyUmIvhHUWdARUgDaIPdk+yIwCcT3mK2yi2doZ5Pff3Khyi84hkUB2Gy/AY
5ZtsM2RCH4uEtPCBX7UDF5Sg2vZrnt0wYr5w1AYVfCyLrke4r8NSdufJwt5Nyh2TM+Y1B9Nm4bGn
khwtluHaprNr5yT5jjkayQFRT9oMU55WGLvxJTYeK7HChIhywi4yYPkYUeccd7V0Lc5qZXuyPLF1
O6jZY7UOHqgf5xYYqrsRCawuR3j0VIp4flNoTD9lZjyw0n7YI8WegCMUd8NcSA0ulgCxhYt4L0XS
2TYuDJDxZZ3e9M6HD8CH01OCzGUN+sChKOuMfF6TgD7HeO75OZ08HOaAZfKmU/l6h2ZouEg+2zck
OLfvwJ3LV8eSCQwK17bJOSnukLPAlmmn9ASBAhS4BS4J4wY1yBxje1FJId7JMJIcsoCZX5cJPHo2
9+UxjGcUHcseEuwSgAIBQQh5R1YAk1hBIxy8MtZR1WtgIVssllu5UTpWOw+XW/SxGpROgdEUyK5O
FpUlh3IRwrkCiZFEhxic2GcSmyBvHO2AUcQDff21jYF1gtQ4G/hzNPHokuSYqZXasbzrnBs/Y+Ae
ZDyA8wNc7GmPYCIFrlVhAusXczIvGsUVrB3MVEOZAJtht5jYg94LzH02GA/bBfDaCnT+1Q8+/Co1
SU4BWqax7jaFoyoxdgTamHvEAQxqA1tyr/BU2eij4dly666jgUiMyQRNCJfvMe5waWaa+ukG/CS+
/Ark6YkAtRkqBvfmaco1P288yzG9yOM8iAIjEKtIuX5tZzksKL2Yb5xi4r3H/Xcc8hKH2zkNlcAN
YEpB+cyvIlpAgK/p9h2Nnzkiui9+wD10jxTzHB5+/WQjiIHiYHSEl5/jmHzo9j6AoymzvE4AxH8A
fl3cpYFiv8ysT2+BVOmP25gCwsLApbwerl8c/a5/8jpTL8Qx/OKM/OIpM1hEmiLhvg3LzRxHm44I
/uJKGzOFd9u70gDD8HF2hjdVtgVG4zxYATEVKO6o62xf59e0tPEnuwQDbzHYlnyQWZee+ETdU+Qs
B/YHazHuNAZxYUgMVj2dLrcB23HWYmrFYYYc8R2TqEArhzx/QCjEn1caxU80HIsnuyLx0+OKnKod
KNRnOK0w4jMGbxtjCvBCpsA7Eo/Gc+76a0R5Ncc9H/nz2q2g5GZVtr+eLWYZfx46j95gm+ii6kiZ
ouYjjpwnaXYXgfAAt1HA7m8w/2Go4BJ3NZkdrvod/zcUxTtm5/g6hn1Yb+N+2Zb+Ylb/qIPto1k7
XpmMf15QSmOomK/L4j5W+iG03WNvQmTEVH/DRvlLZstzmfAZ5naJ/pg8uS05JKY/qnx/7eSWNyhe
irsccz8qQbN22oIqFp7XRQxTWGEf01WMgNExGqL8KRXjC2YARRcIRchTRgUEZyISUL3o0AfmL4Mr
UcaMzUb5bbIQ+ogmyT1ELkZ1xTsP+LbI+yOGDoxVUZq0hdzOKiJWeWPMLGqF9G8PsDj6vnTwstf4
x7oYfgYWJM7jrrd2iVl0wky3bzJSN0uRfcA2eZ1/p5OHGGzbe9DFb1tQwErlrNr/P3tntl0nkm3R
LyIHQc8rcFq1PpIlyy8M2bLpewiar78TOeuWfayyRtZzPWVWjbQ5dMGOtdeau0RWoEfYe8Vcyo1S
6HOQdvCPPMp3/EmWhYeTlqMv43R5KaTpa0tceuaybgP66a7EdXV07Wynp31MkmPhBieW2E7NENKz
nbPLzBIfrZmKznabQzbNxYGti74fWYQD1RnqzVRmIfSg4VhH2EoUbJENOhqWngrjeKbax5YHf5cC
BgpMGT6pAouhUpBKF/N3fa5PNTCZb4lmJ3u2Iepn21KqQGTZfS+69HmeFZ08umQHhhXLV4eyg8nh
9kcUFKOBY7WwHugy30fpoguPrK0BACfQ3PCuKboXHFThRi2d+XoCi1lvYMUlvV/2mjojGLTDZpFa
eVkJ6zpnzf/AY9VuQJGKW2xGxoa9eln5xaCk+6zM6sDoFOl1Qqu/daaWbZZCO8xFBfmvrp+HvCKd
4AC4SoX8pIaLJN7H197VGnOnkKtRDfWpiYkxzA3BCbFSDPH74SNlJ0e/W7lqDfMjuEnVX2khXgoO
/BMSSOeX9N17QtyXozNEG4oE58WwwaThwBEfs7lZawgb3E5HDPiIM3GkIaKFDqwvmX5M7SHzjM6g
Vxja6be+bfMjOCIbIa8LsZoocss3fdxmHX82KtjcLr16bYdp9QH5agpI2VJZATzxxrp1rmtZ445Q
5/zzyMb32gKW4qPdz15rJUuQ8xaxkvfJYPtxic8kzArH9YCYRJeSfbw4dlooJi/uFutac5th60RN
ofJKRA+9NSk3liDLkuna1HATK9UP20jZyCwdLvEsGzwxZRjBITRrWiXLyGdwGqrriq3n0WCbvwnZ
7KNnNeGD2yT9acyWJN1gPSeD1Lulcg2ayTxQKWQ7oVbNJplQImnyVMYmbqfvZaFpN4So+o9jm4x7
1PLm0Wqw+uashTgt3NgfbYyYilFDmrGXQ1ZQhRVSKke1YgEjn9zsMbN2ft32qZ+GoDewM+HAa/An
z0b+xe5yB4RDON5klqJetWHZbsHwYGjVYgkOOQuBvLdXU5VuDUXZRVpk+bmzPKVtW9VBWsoclamB
0SUy4ZFcJXdHGsUngGHslmq5IiQ471rok56G/RRJp5O3y2rhy2TV8eWSDkiuJr9r0m7cO3qmPOm9
ey3wRX0bbUJFDfHKrVtb0XYAoEEmbfW0opgGQ7vwisMi9KSjnviCVje4AAcPbyJMTxV3j15Pu2mc
oqDTlzui9fb1lGjC6x0n3c2l2BHS6/xctJtKVtE3/Es7veeTJ5sKDx+Qg81EVPSYSDx0BCZC8Brh
ZRI1JyM0TegUTnqYFzwHYerEbh9g9s7ExtKXEzGirBAX9qBYidykOBpEvSP8mkZA2PCo8wp3Y4QK
PQImwqWMn+EhIjkB0MJV4ZPjX8rn6TBR/y6XJqUK7Z6oyMzNjEkwwIqoYbMeCKbmHt9tfBWFlZCA
7AgOzF/jDNOz4Vl6WGl7voaPU2F8ULC0bwmqDD7S9ngX0otBPly66yg1qy3OQ+OKCN+nZtExctXW
KXErWM9L359it9SCHDPGTWPX5pcOFL+fauXyRXSivxoLW9kmQn5ro1nbjDiGrhwp9cB2bOMIE3dk
9UN2c8dcuxxtqzlFlCoYwgY9AMDymQRc6DXFkD6PfYQPRWkNne99eCyUxMIYomJZbzp8wzLBT1k7
MZ/KOqeTYyQ7RiXcQ0+fPDMzLhadQjvP0xdbGyV2xaK9tkTm55XxNc61Lgj7xD0Cx7LKDeZPiv5o
bvsvqjH2L3ZmppfjWJK1dvDy6VZi4rJy71Q5uOqqhCxKkMk+OywLtBmKBGO+NMB/fUAQWR5zugNX
XVx8ZQMaIXhrDfHUsV/Mi7kMqyAp469NUfDVx9T9Yku66ojyfY9CmshtK1QMXxB1Nkyenk60XBef
GuikY4a/0dOFPJ8gb3RUDbcJsMfypuE/frBAIV40tV5egtN2IC/OfX6TlY1NP4Tc7Jey6bCQhWky
bRGq+BTgOUbjZmtYUQfkrvPiYKeJfRmZ4pTAm3vsW7t+WvSi/LLEINc9GeqGwpJvr0KyOpb3JUX/
xhSLcxFWfbXtWBgRxJdDQtrUwxmb8IFesuskGsYn0aPFW40NLdAsY9xKYPEqT+PgNw021hssTzEb
38Tt76F5tki+EFEhd2PH4ju4zMSKR+z5gd5hDWybTn6Pu6LY23qPxNuM9R4c1bdsQr7u5hAZUO8u
s3Yo2Ge1zgnipLzF5FKf9NRdAlolVLepQTIvqpxNG+pJkLoOzYc4+cjGLwxsN662Slo4h5yAQfs/
/8wPmeYd1UcDEU1r/T+rPuuwrCe+AT+bbv7+Q3/LPsw1cUySe7ZjMPSOeBE6y49hKEj3fzGoXSOJ
jP8CPI+FRPMv/4yJfwazDd4a5rljbtH+XwYy1L8MyAoroVfFjaPzF/7LI/SLEYoJMG90mc864Th1
McXZGHJW7wqQnjP7h5BWI1U1qg4kXaB8ZWXEK0s1dw2O1Al+ujRvHMs6U5zWY2H3WUdsu4Z4Vbl+
7mfLjr4+yKXyYGMqvV7kLK7TQXcfZq7AZdMs7ubPxzvrn6/nhguHHSY2Cc2l7fGrwtUqDIGpHZXj
FaRrvFFlQoSXTlgz+snQD3hDLH2jT44Aq5po938++JkFZT04hhALpwx3bx2Z8evBG0XlGwMG7rC0
ff9S5AU76Bwf8+Usluk0hYtLO0N975TfuMQmVwtbBq048JQ8Nj9f4r7r03Z07OLQFmK6zfK4f4H/
sQoHCXv0SJ3/8QEtwUPK4Xh6VbqD6w/6yaNAe3LCyt66+1gJqwubfmwwx+sm1tGVz9Acrac/X9Zz
h5XBC6TqloNFnJaoqzln1p65E+oShSvxoJqazBuskDbZsjRYjpzRwKaA7V7gVS6NFXwkTo00ywc6
5/box3S7yzUSbZ/6WdNYlaU5EOWu4+5STO70adacd54CaGZcgJ+cOuvvFRjlBI8gU0O0c7dlWcDm
T4t+2OPviIx7pdDM8KKLchUAZdU4AeQSMR5Jg8/5muWlL8g7OJ8UTNR70CmWdUw6SO0FibHnCLiA
5cVWzrPEfAgA70T6KQZJPR0lGhkUt7VRV2gk60j4mXzABq2LMHC0CZ3GWVucbW1O4hqntdJuBlut
LhhZhPLBh/A2xB6RewumLvOLg+t9hle6TJJOZkM7jdbwdEuVi0oGRClz96kqlccUdQ7a1Jp2ObRh
ChMdFzbuKz6UMF3EN57SiVaLSJJ0uuoNtuwfpnIeL0s1pgFumThOpIs87b0uBNhAeE8n2U23ythP
t27WsGeZwqZ+GlKNT3ur6gcLBiSdPynrJ6fQ5S0ddcZwuM3C8jURJKIyas1nktXTCUcS7dlChvWT
HvfTSWkUcW/2KFp0jWn1MuOvPJSzOz1ZGMoH3zIElAyU4+k0GC1nWmcGnM2844C0scIHjTgZNhBn
NJ/zgevoLMhzRGjE/eBy02gduQ98qs1ni27qKYk6d0Nc3dS3c5XQsHUn+p0e6tx0+vGsxmlEhzPW
E5qxSTZ1L3laodcZJierzfDsd93I+Amc8biXkRLCpDhAFmyKHru06wybHqLHY0xO78GpWU+DPhto
7BWzwXMiS8t4rjo01TgijsJu0L1053btXBHM8wx6YCnJkFrxDYLtFy0edRT2uppuhwF3QCAtsHWk
sLr6CbkT88SPZq5kSgrVfix0Qmgpvb2xXs91xPbvOVHV7l+vvzH1JtFsh+1fZpM6cZS4Q1x21evX
/4b0SukXs5qybizxXuFcP8R2L4Mxct0tTT0e4Hh9Paw+o1QCUBGGF6RW1NqX3Qisp5kc94QFULRM
T8DlTPoid9T0uif/j0vGKcCO3tVWSWHmhdUUyi1WitkLdYU/gFVEqIdR9LackL8UzAAddgllN6tD
OgaUd3N4wltv5l5M5Lj2yhiDy6UGb/AJR9n4IknAS39EDEpux1nRxseOyx/TaC4lDixGHXiLmlWe
4kiStSr0P9jrJte5u6+RQKGuzvjtS3cGkp/7jH2YDoBgjS0pNf3aBNjDVmHch+48XfRRNd1b0HL9
uA4Js0Bhpv2O4QKjtvjUqVoT1ADTvR6f5o1ixWzNaZ5GXh9K83MP3NPg+epGZpC5yXQhQRjtDaS0
whtUDVlPrZZrmgHRC31UZDkSF8cyia3rWi1drKvrLkGUY8ENnxRiUgsx/l1ZL/2LmxAhCAh1R0nA
w+0ejRC2fEBgFKITPsnwQS9hiQdCMT4ymQgBuG2eSwGhIM1V09g3o86SLWydh45EII/UnJmISoL/
gTQ5TCc+czzLWkiNu7eUkK/00iY7DGz1kyl696GYY6KMduQUpmdKOZ2WKQ4fJhKi17Uh6qe5W331
zC94nmj1IxFbLJiVlt2nJCIf05ZxBr47m0zBUJHSE1vXD07tEkd23ZDg5OhU9xaaBzpHGUBmNKKt
0AvHPOIUUt3HpavF56JVlOWw4Jh3DjrJFX30Rd1NW72F33+0NF3/skTStDYkRY//pji0XRofcBfe
23Hc/DckBwDy9p1mOZlN1Hw8mPqgyIDmmPB/RjqUWnkzEdUetnA0GWHzK9vBmLWGBk5umH+zHUpb
Mb4AwOC/r/litR8BjWvY65wxaWF112G1XZwqQQCJssEg4pUpl0WeDFy6AkVjgd/1idZgtU+M0rmx
Y11FLUWdtEXdZpg5wu4JXj61SN2bzqWOpcfPhOS2wilvN0lOLGcDQSFqr1unmw807J1rEFqYI0jE
E/zILdwEOd0XM4RM72XWwkPTDDwpHY6PAKDl+igNURmjrK3tGs1lLW0sCK1e6vL3SGALO6uP3ctu
5Nb4OfM2SI0NKb/JdmA5J7XB/xFnJY/gpEfupZXXQMAiDZNrTv59P2NVLnxpRl23o+/gXMICQWAA
goW3jo9J4WN4n27Jz/AuYc6gpTjzHWcCYrLTw8V4XuaUBf91CbTjAYsDPNT10R/VPL5l4B+hNUKz
xuU4DCpeHxMnQtsr3UupQ3XwhI7gzpe1MZ/tnO9jR3IDT4CZ5HT8UXtWn6BpUzHM7Gt2P36WYDha
vmvilEoiVBQ+XzbopIsmb9HMZ8zQvaT2LQjpbcSSYzbRRs1CCB7mwpiugFJruq+2bvU0ak0d32jI
zNysouZcR7lwyLJNZvuEQzXv+FqsqmUBcj1qMpI7jipBqEeTYR2HDNiLT3R9vguVynyyYsHCOrcK
qkXdThDP3qR5GFhDUNNpiN/llaIe6yFWvjOOxIWhMmIp5DdT5bzapLRp5LFw8pYveeP24p4UG5+n
qEVE37bgKhZ+SbJeUVoitKbMmc/6UDsY0YuWpeouXO9omgIbWoZiNXvB17gG1c6uodcWFSaJ2eHc
3+SOGaoPQpmJhHGdKC3viAcpw520QAPXfjLGUeyc8gyOPJ+qGp4Hoc2omTEBZokSCegVVMsRol6P
CQ662SlXme2RQNGhIZsXSQBwlqC9RYucdDY1iK3F6jEj5nhN2leiMMWMuoN2FEyMcjnm6VJfcfub
U+WwsmQyVj5NipscFaAVOBljPj0MwtlHGJVgnKB15cNoch6NFZQqoVTVdgnwd6EPpfBD5LCk6200
bIUaYeRlOpPXTlNzqMC6M5cnF6cSwFmF4tW3iB1tAtSdiqS3iuw7+HRz68gq3NP6Lkh0NpKOQYV7
k1Xhe9k235V8vnEnYzzwXFMYDI164/a1emMWswykWvhWNxf7aTBB+dGSuZsIQm9TPqJB2sQwAeC4
IswaVxMNhA/cbb7L5ZQf+fIVO6PIFAK7eu87hbWJ3PxqIOvh6VyqG3Wuo4813YKnttL060oWq882
Uikgp2aXuzkMbUkcU5yo/Eh7EmD8blqhedQJ4SZI7wwdAfFQ2qMROnslXb6ZjcUNMchxYSOl1xCD
N1VzWMazIms6+CGdlXmQ6woS43qEqjWwGmLvvRgaTTmAiGnqqy7LeUiLmNUmsVqeyEWG3PtwyhEc
54yRjr6k7H5nK77ukn7ZlTjsS2zdRFgQSBDn2346M6nLF6/e1+Zr0S8J+XntWvj+ebv22+7HYeAq
QoUw2fYDxjzbHsI/64e06ut9XsLG8AbyE/dNt/prjUlUF9YKbDi+Lod/Pu5vW3+OS5jEBGZKA46d
4q/bUrbkuZ5WEyJbmlvPvULnvegm7J4jQxwRyotyPllWzFrcyLXK/fPRz601HJw8DbtiXnB+xDmX
E3kb9QTsyp5BJGxAgA9p98666qavbto+qlnz6UawLVkrbyaEsbi//oT/+bTeU+wAvqDz/GfF7iZO
ql/Uuh9/4N8mLVMYuCjwYpmYw3XUv7/VOof54sIWwvxpqvG/1DrBwGNTWyfK2Rb/MElq/Mu05fyl
g88Q+L1YXF+tXf9ArRPncp1NFATtw1xFQVSFc/WD6U80R4iuHHhh6zDQ0iU7weoLj7CQJb4Os3t0
Udy3NUMEt2KcwqOTUy+T/Z4+miVbQcNKu0eV0vwx4pX/h4Ibv05TOX1+oEbC83Ww709ikDs4bShg
xhxSaVTPJrbL20aNy3U6z1qJJUBV3FqVfldXmfHjgSet+baQSTLmfE1DxERoA+mlkjx89df9LEUR
WshBlSTNAVf+p6KBkkGDIXGvMretLGLNpn2pqU6JCWW27IvJcJOPYNqTz9NSLi82SV5GXSyzfmSO
RrfBLZPv+hzL9IZywfpASq5G0h9s8xDiALkUGGa3hlobCCZrN38qmFfE3ofJzRoOON+msvVVRuDM
3shuKBjIv8+eQ/XSeDpqiydTS3uKnJJxjewGvKVzkM+gdmzwUA0n5heX22o2Sukp2KIwPFEkxz7r
aYqZ3lAflbZVUGbs+4EAOUOjF4BOnm3V5XWLc5XaQKGB1Fa63MOgDf2MMM/KcaOluBCLZLzemsGo
4zL2C+ZzfCrTdReldK64NMc0RPmZ+0ds7vbqzs5H5raKGGAMN8Bam5vzFlKPtZtcLYF3oGHqJT3a
nFy6+R/YTCUiSOkDPuUweOGc2SpG9BiQF7Mg2mQrkVxnDxaFhQzqROCdmsZCeDLi/l4MVUx+1h6H
g+u4eRSwh+lPU8JoFx+iUxd6GChU+kEZecQy7DMqK9OqhbIxokW/KKcWRlUUMQYLs7GLx61dDG5r
qhh7E8uJ4uWG1WLIMT/Z6exsYtMqb7OyJQYQEboHx0JLx6DDjEzIrK6tmqbttu1H83bONWUHR5CN
cqzR11eTrdtLGfCmugcE/uK0INi8TnJMj0vqpIFj9vYzmka9Xwp12bjMutvPeJuWba/1kErsVJst
Pj8oJThVym7n9Km4CEELHV2Gkz/oqTbsAYSMNU1yM/5mjKq8YbYyw86S0i6+aVS0q8zW6F5jJtB4
XRE1xDPlYuqeZbdWGvDu3bH1RlMYsmSg3E7DwhrvRFskUw24qoSOG+phEzHPLCyF59R99lKmcYgr
qG/TnaZW4wsuZhi1MosLSd+yxFJ91TVumzzLJM/rvVtKQ7vp6Lwfl2HRD7mqp/LTqvq5oA216nmh
HIOM6w4TQAvRKP3XMhxS4A9uzyhVi0BusumHtlQ2VejMV6hY5ex3KoSPzSCVJbmb8XvN+x/BAAXr
M2PXyraIAlCBUf0ZOxeDXjLArqXHbr4ErDpm6n5pophPQV9etvHKsMVnVz0Dk9EPop0Z0aFMhBBm
9rAnYbNoRlPM+eNpKG/wCdnXUKqbdRKHy9Ha9dwIyph3bbiIcdPgLe28WBrdY5+A4fLaRPLrp8he
9k01LfuEYSHM9DDZM0nNxfBuyloG8ciLvOnUYVLQXqbhi0ogQ71Kk9ZUr91wpBapmZr23GKohXag
5AviEEu5y5nH0G8HbdOzb2CjhDd0dQAsD3mnY2Pzs1FfMgJdoRbmS8CXQMzP5jC0ar2GJVT+kaGq
wabKZxEZqVeJZZSfcEjlCeAVJnc9D3NPrT7D2LqoWvwjTSf4xRI/gbIdhz5JccwSK2QGT34zl3gS
PatKoKfg5Zo+DEmk3UDs4cWCZZDftCbBQx9sByBbZ4ZHOlV2r3kqSIziskB6pnvLL+DZLWqDsVDC
Ae3ZgHjzcOSGQ0Bk1v6syHKEeZq0mesTWyoF/mGcUkzgZbQ3wzns8akSAMFiCy9j4OCg80L8SYdI
m7RNNnbVF/r6H2mnWwfpuqm5QzEaPwxWrueBkhmh3DkQow1POAmTiKAzhb5hwvQSg5pdkaIIYZkp
c3kZ52N7r2XDtPofB3AXqKqr11fE22rMNqlWKQveC3O6NNBuSZPI+HKwl7Zj5+Pkh4mEmrlxplZc
6EreHxhdiGuWB0iBQsp5ccruDDGlYdvARtPWVqRV53hDpWGOmHu7nHcE22dWP2mlbcA6HvngoI3t
FLLgd4XePf6vcCz7pJ/fKRwZ4KrTLfvPheOWAHPy8vxz7fj3n/l37chfQbkPDAFDPU2/f9eO9l8W
9R89K0LHTKhYm8B/1466+EtdUwHUjqrObEedrcrftSN4hbWOooNIF/i1rvwnnd7zLZFr6SZ5bcFO
lH9Vz4uzaJzUxamrYU/nK+r9PHORsmgfuJfGwHguDxdYiSGRuXaBG7+74TwrXMm6gUNwBNeHjSck
ifN2aIPHSy5TvxsHTcJIY3suEi0PZij7+59uyxtt5jcP5a69c9vAeXM+e6Dl+yNEYfY7Q6AX55pg
VlsX4090RPPONvqtQ3Ep3dfQBiXn2fZ2EbRPZsPoIelPCYnapQno9mZw1uz3Rtif7SlfLyBNepyM
Og8FLv1fd7TgI0hXmFxANwnhSMwaMbvB+j4Rr4jKMPXtSmeSSYiAVJPGemdDeyYX/H1wjALrU8y2
6Ow88YhDyqz7HjiLYXks+hRp0O7+2RgSjsI4bKHZYJ2Rxkno/3qKXeTonWzCAUo3VRrPJg0Ez5wa
ezWfFQiOf35OzrSJ18NhQlDxazDcxDrvzJrs/PVY9MMumi0w71n7jQk+3xEjCo8hOhcWNvZ39ii/
X0ZT0zRXMyHvGEI9V13COEtH3OvDLlVN02cYXc7NcqvNn89rvUw/aTuv56VheAANRKiIITK/XkZj
CMGiN9mw00kZoH0plwx9vZmFxmwAlSr/z0d76yr+fLSzm4YDAzA8M5l3DgRWWm2w0yRiYJ1mcFhc
t/faLPvy50OeTd42X88QEwnjgkGT8ECybv+805tjhjyMI6+diC3UwMrIHyJA8wfonQ6+gCgLhuZk
y9nxm5ykgtWrzhGg6X4gUwFl3ZWbYWKH0I52/XWadOUwYzXA3t83d+vcCGitkS+yZnlnYRJv3H94
S6gBFgku7bcnzukimhGQrXb0ew2sw8qYrQkLE2+5Ang26aD81wwUDHSu3kbLJ+Ozutj0YwVYVxvU
jR/VkXtD2DR6510w3/xprM/rG45N55yYkro55ggYm5gSY3pusRnAZQET7Fj9hnmx3UcGRQK0Hi3Y
6FW+kD8p0/aSTD0Ot2LqadmhjaK1rrmTUvV0At5BWDqqV2rRfBENWnutWYtyWDIyFg3IwGC012nL
Pf3ogVbQA/GG0HcJivutodhb/LAJZVbrbPB5HPuMggok5eD3oekysNq8iI3s4zA63XVmzLo3UwFv
W30Aaqj0N5W7luKJTUTLgAs3IaheqoBG2TUTt0jLTPGZw/c9m/VTD/MLvmGU7XsU5Bv+5nL756f1
9xcEbxeFAW89QuRvlhy4ruZgjutN7+JrJRtieDDqQSTT/bCE9WYY2F39F0ckOowByQTC6J69Hm47
SSDHWb9rw/AgYHrlIvrqlsZlqxOzIOL76c/H+/0r6Jg2qw1DQlZTzjlCqCN1U3JvenIIQLs1ibYf
wazcOFr73mT63x9Th+CjtapM2I30c103GgizjVCHdi6MuYtKacShGgf7nQv45lFQbylTgAJwDX9d
XxigphQ9QxvJFrQqvU/bVfaACJzbP183QUF4tlJzNujjKHo2uEzz7Dj0ghYBr4CtG2J4AOMi3VoT
O1urY+C2EXbMg6bjR3dGB1jiPLZatKuMLHlvWToTzlhOVx8hRq51Vp0QxplPrmkqJhBImxE4U25v
aMfmW6gN/RZbceL4urEYB1Ei37Rq9S2vRvuU9em4i0xVXhXLoh+hg4Tv3IFzMe/Hb4Ij5ECacqlZ
zz4rER59oJZ6twMXWR7U1ty46oCrouyb67CrMc3YQ/2Ugy3wmd443wwre89KQBW6TlkBr8i/MX5U
XmfOFCzL+HmAxeITXKjvZkY304JOzL0ZxeOxnBmooPbvFRdvn4BL7wPWKvC0VUj++RvF6BG3mJ2R
ixrPpwhj8nYYjehjzCrm142dBiFONr+wrZ4vVlsgMICJSex7HF7uYajD0IeUKzewEtwP1WJX946x
fFvMsDzq2PS3sAXmYMxShW9Fn2+BiNTvfBLOZ/v9uAU/ncHZ0zn2sI+jau52s5JGRwyL5bE3sXhg
nwj6pGWRHyDkp6l6QKBZRV0Iu39+QfQ3n0zXWRs5zBfETfnrRUQ9MEboRt1KoO9ha9N5/UJZdWsb
XclUDPWlyuX0SI8r/gpnqx8kSlalxQHZVYziUbfV1I5InwVmgZEgI1Exbaj9mAPuJhPYLe1+8Y0I
hWCptO+wem9MNYWuo7iPWHEYVSJNMsumyPdEZp5tqd5ZMweKGLTg10B0zHeu+e+lG8RilTw2FYLF
yLqzS25iIwaSzYLQpPljGTIWA6FMWfCkVKh679SJbyzbtP5Mdp6GzV+snu0oOiZRlS2Lzq6Oyu8u
kDK+2hKlBz7MO0da/6ZfK1JOS1sRc4ZBfvy8sIcmPAD2NXmS2ugeMn+Eb3ANVOJTY1TJnIFqUC3F
OYYWA4r+/Ai98fW18ABDBwQOiK/o7CT7KGmYK6B2O9LrTxDSbie7OdFn/57b/Re2vFbw5+O91p6/
nauJ+U7ABMUDfHYLoaR3U5LwyLINL08I3tfaHBITQTXzdQbvQAa5x0RD+muuKW4Mh/5uF7UBoad3
Tv3NhwkLNF8WhvDR0fr15UkG0t+x5P3FydQHam1bngHaiTHKFRpSnH7/85m/8dG0VCpHHN7svdnk
/3o4i6lsUTFM3OS5nXZRLUJ/QbZ/Z4/45vUVKBk8SVze3zpgaSeiShh1t2OPzMR4OcFNL0GsWqGj
HEYoXUTzYJkrc5NvxjAqfNSAHB6UcrHAen7nff19Uw5+j10hm3J4lub5+zrOwxr2RHvVJcPQ4sgG
xdEuDNohixsVTCqou6Lc0QTQvCob1Hdeq/Nu4LpCsy7S7jKp2x1cob9e8p7BIZqOxXE3CyP+Utut
QiynjfobvHwmRDWrIk7N2BNy3Mq8mqFw++dmoKY1MauisePMH5V5vJKxjk9E6/tBrOJi9/LnJ+ON
hYZGOEOHefWpc87b4bHiJAjzVrOzprDdDgboGoMWwoZaPnnnkrxxKOAvhk00HRmOq/PrFUlS0REG
tptdv4TFd0Of7Q9LGRfM17DU/+K0Vss703ZXSe23VY1WyNLXjtHsAAa0H5i2ZdGxs8OLtO1REf9f
aHxD0XpjEeNIyCKUiNAKz5UKbQmjtBo4UqKrESGwsr4r6Fdt+LqB2CMY5xn4x99ZPt68lOyvDYsM
DC6is/c5ilTGhsUm6Uq4h35hkkxL0kILWhXh/8/n99ogP/9CUGmoLvgK2uusWL/eN4dxF0O0CB4R
o8UZb80zaI8kNkb6GUVY5r7VdlpgUZNjlwW0oWzZOQ7TZplsvfiAK5OXK9HRGA9hN+cPWi1xpmG6
dJhflzO/BTtsEz9XI1HgjFHZ3TaKc9zPXSkS5lNwSrpvWxVwOleaoE7wpurzhamAnkhAQy0bSJRx
6kVZLO6tQcNxlhuTqW1TUUzWRmdohvbJZQBN8c1iCCnEupodTHxBLloPV8p5G3/s8krMh5zJBAxw
S0TB2HG1FsdimSZl1w2Z7K7NohycK4MmbfjB6mCUbfnfyghIiklskzcYbsZQ8Uwa0ZVjlyZNZQbl
pNvBJHYqGUAVHumiVXusp1Bn5whTPjbt5IHkiU5kfABXeWDWelT7zlDB0MCLNkebgkmG7SUNe9vC
kO/WYFC6bnSzAODTPJFiBp93UShwh9AdiloL6sJciysAA9qzDaVp9mycv0T2jKq9q02seDtAV+l8
S/dY3jFvqu032KVd+6RWhcO8o1lGw4Eidto2zuQmW4NWEUgWEu6Lj9Hb3ZXtCmfIw1X+Yxapm3lN
ZzofYZaTHMyLao1jx1IwsLk294UzfEDn3Q4r6oTpQPmnXCFH25cWMMsinfCWk5PUG/dmgJZCpnA7
rfgUZjN60oghzq1oFc3IRsY7g1uJBnnUJQAWre6eU+LbJFSBswwrpgWC3IuhK+NGrgiXboW5WCvW
xTUSa2esqBcq5oVRduBfuhUEY/dYpI0BbEEJJWZpLHNP85vZahBkMG0+kP7akBRobk23aDfMyktu
sxU8M6wIGmeF0egrlobdAiFB4gfTiqwxYdckK8QGbFt4CF0j86c0GygqOptEswGGdwXggE4/NCsS
J1lA1JNqvGGEDRFnoz1m08SoWDVj9l5P75R+rwSWnDF6V4/xE4PeCR3jBJtt2ojRibfL0i7+vKJ6
wldoD6Xridln9edyRfqUMXAfrJTQU9S+/W6t6B86lHXgrDggu6rIoa6IIJvk/UFXE+3QrQAhRIqj
Bs4YC6vYZub8qVhhQ4Qs9rZp3CXD/AkSX7kZVYA2OCw+Fa+xxojQ+0EOdrmVa+oRIOR9tuYguzUR
CYPC2ahrSjJf85LGmpxkClN9IuYqb5s1V9kNE99FopbMOrK9fE1fzsQwuzWP6azJzGTNaJaFI78b
HbnN+UeGM/uR6KQp/BrwpNJc857Vmv3MXmOgGg/PI7kbUv12s0ZGtTU9mq450npNlDZrtjRdU6ZO
Jg7qEGHfXBOo1ppF5V+qzcQLsQmx1szdJV7kaOyemKhkd8w50kJjzIIFsuuTInRMCTg0PQVMXb2z
Fa36OtlLVu/1LNeGoHBaJgbNlQC3oyhWn3qZ7ZCByGdpKkfkWRXGQ9UQQW25Ul6flXmwOIW8j1H1
b7U81e7DosySw5hacI/Ae16LUXMI28uRIQT0t49x0qlfLDWknkTfrTf2ouYX9f+xd2bLcSvXtv0i
ONA3r6iWxbZIit0LghRFNIkm0SUS+Po7IG/fY8m+8j3n+YQjdjj2lqpBIRMr15pzTB6y34c+TP1d
ORPTUkxe7lxp3fsPrhLJV0RzHwBLjcMA87Myt8sc6m/MmaqvTnZ+TZpTb73BW+y2HNG8W+zacs2v
wGKQ9fNhoGJ5DGe3eFU9rzMb4JOw7LQn8EflJte4vYAV98904RiDFH2GykKN3AmZE7UvGRjX7610
xV5oo30JWqJWiMIcygsHcsIe+k7/7DXwIMGoTrCKEq8atuPSsziQfXgQ71yxTX3fAzxgY3tpPbEN
aCEjsxmibi84N1VHwrv48wNhPU9tMq2kTRgSYRylU5LjAXHRE1SMBi8kWcHrPWhMpzQqsgezysq4
CaD47WFvSOMJPiNfMVhB4pepvfBRfaEQr+txuk6TJL3NQ4wx+JuX6wYGwJWbYWZEjpQfXDP3H9Rg
e0tMJdKefJllt2Dv5ButO3ztOLtuUzSmPkHJ1bJfRi32U6OJoQgIpbtFzqGCjfQy75ZF1LKo+HVp
wrcnUUUuiv5MfnQq7Qgn6qzHPud654WYSVBiSh1mXFSM7zMBJ3Z7ll4nP7CpoMeo/QUxgWgLxPdU
fEdPV7ysgfTc6tz2JC0k/Yvq5ccwy+5FZVzXJQja742VAs9ZRoJnYtiCyYmYufkwRgN0qan3btE8
GdjHmii91fmaggudsZo/FwTcIZk49uQQHYzTNMHCwmNZbgliTDcGY3/kT3WGqyMcR5QcLbEcj9Ka
vVvi7pNv0s9SxPtj8+anvtgOBPoQ5QcCGRFMSBHpjY69S4ewPc0Ew25TuLCXXcWXByWjv4UEhhNx
kuRHR/K3pWmkt2MEACHOQo8KvEYme+s6bXnRiRU0iipBgFcXU3LKqoE/kKgIJE86lZAYFtmM8cI6
p42FYm+eaVqHgeo/g9T1Nkkyl6hZhvUuHzMJMQJ+6QOpwurJbQYwIVPDhyw9U9yHQyffnSLzH4wI
BhIynim7nf0KzUvv1t1L2S76LvT78cmUWtzn689td0l45RUW9j5X8UbCwK0UALeLKTKyW7fnqqE2
n+9M7FJfJsiwg6EBg8Y07ZN7SKZQvlbxnw+EBfYlQkVKdv0tMpnIoD9xjdPS0RIHq5PNX4GkzQeL
LENWTr+lJ/nZN6Z6A68Gy79bLBUGIsNP7l1EGDhIUOvNF+BBSPPMcIDcgaPr2Hp9lzuNPSu7LUXR
WGSJL82dQdYf6WlzyW9t9mFGQK7ThPUm6oevJkT/wuyiIviomhCnN4X15Kar+23qrR++KsBss/Ta
M7vF8tXYhew2vl2DsugKb/wB6XHx+M0A7BhScll8nuT9wZyE1cU+Je/jYpfGfTSY7GaBr35oGbbn
Ialp/Le2vBnUjLuuSNqzBajlNvHb/DCgo4TXHEJQ7rOVFIm29ILE0uG5zfPaPHdG2LPHN6LyLpq5
4eJhlLrmTJzsJZYSNjH0aPRNB2dkIOyEb2gLh5ukkulBEWR/dP2Kn4bH5pXTuWKMvSDN73y3l3uw
8v23Tio0T0v2hfOMf9VLKbeJks6HF6UEtEhcU9IFsWs7pJp6yvEPFtcrZqLpbsXQsQ5/srssYskx
IHNqIFYK52SZupvSaB6IzLpWGBmZRZo5Z5mu206Qsm9a+j/Ey0C9q2TH2wofGBWo2QxI5wEaCeN1
MzeutU/WYT17yYOPAfYiQhqI1y2vIJnVDBtb3MoXXj6c1DwTTsnavDbTqbuq06A+pVlNKLztUAJi
4sO3mL5HHhRjEdTg0RrlfBI0dmpz02JLI3Rhcfp2V/uW3EDquMQD6T5TbxM5ZOrmI5rWOVMzEDdu
2Bdt0gRMyzIKUlU083Oop/TerLNpHyBC95uy3UaTgRM2bxtEfcs7/b/qVVQBaqCg4SLZ+MvY6Dnh
bIJ5drM1uLC/EIZJFGxikAhRuXLfjyODL2sklAoi450bCkLfiqJ/GFvDZ6uL0vux501GLwnuRsir
MY3pmay0xH2Hpuw/wdMuj3kePOnCrA60SzPqQEq5uMpnUpQxrlznaA83jWVfJM5ifeBbmPaYfs3D
YFvLNswhnkyKxdjLbCDRj1ZhOs/+JcWF+1y4HmlLutmznNiAG+yRcepj1YnKKPpSYrSfNc68m6iK
FlQLlftI2GCBvzdy9x5712WV9OUTAuzgjJSy33sYgdt9QF2ICaojTEJr+WNh1GRvZDrkN23BbZDX
ZYq9UtcElkuJrdKtCAXWkvgsBghxtIBzGwOfgt5NSfqetTilU30cRFtCn3GNq2ZGw7aY9jMG0GrP
UiQBaEEAylSPgiwYbyrXS75Bu6XMcFF+sgUWsQyH/D40O9AclRNe9nO+xtZlCEqhg5GL691W0mvw
bE6RxdCiXC7muVHXvmfw2KlALbDg/Bqqlybyt3AyzDR4Blh3Xc2xtCS7EeNSM6lr4qiKlwqGxAG5
es0jB6hA3C6SlsaYG1ikE6e9mmlmc6oLFDGlY1eIUzTl5j0ol1NXBPqYKBSmYS+uS37ly74GF9+7
DX4UBjxxPfWomVUxx35fHC1sQy8RM1POOe9dU680dG/ZtJK82SKoszBWarBe4E93F40dfFiL/yPp
mvaNirV8K4kEY9PqjW9Y14y9o2BqDcFYnWefiqUkOoyhdzSsPixwkZRD+gjyWuFTcprJ3arA7INj
ICw8E7XrN7cGwc/Ax+eguaV905ixHRZYy8eyZBNqLK94q6qiPtttWJ39nD5ynJPweSiQWn6WvW1+
1EirPwk6I9TTNnjBFhXAyevA7c2uHU4vHRUPv1vOIQd2LzGsyvCRsEo8fEuk5StPS3pnCy7ylTjE
f2qS1SxXC06mYmUXpqtpuxLEoPRjTxOhn8fqS2CtzkgUHJI3sy+sD/ETGty4YLb7VidvtiCGdeMm
OUg9uST9p+FJo0LKq6JgtwivfihbzcbQZwAJ90E6qGbvwh7KtqPOuD0ye6TAaWpA+5k/glqPyN99
8yyPvxNJjRkwAB3qbd3a5DaqHbJVtyjTgbsWHnKpbY1KK4hdW/OmBbas/jJfvIFzo1krCxCXnCBa
Urzyygty5ObChXkUbjM3mo0DqVqUAAMTUuzBqN6visx0sU51FUVrmfj8Soh2QXiWekzeVKcgUaXI
8JF5p171ZY8j7zq2Dmb1yXWit79fTE8ZKcF/jCfzzdKbKNMCMBkNrjm/OTiRl24cjN1iQy+IS0+g
Qf3goR+rD2Ve0O5BWZBzwBRaHKVFFwiYH5iDPSwoAEZk1D0gaheSn5B562ZKWr6fCDz6IZ00RXHZ
o2JQh2pG+HEdqUF9KZ/eaDzaxHpc+4ZFQt6s7EM9guGviGM5C3h9BN4DF3mEKN3PR00bPrl1R770
0VYmn5GqnE+d1wk/nj/r2mD+13glcRE5a5fefwZfwVnDN5UBtoNNAmpqzuklj/mwaKd71f/ISXgo
D9EIPojCt8oLeOw52cslpj3qXX7O5VjT/ztBADPAbjUDFR2+C1lcmH5HE4X4eGSpWC8IKGRNceDm
IczzC/Demv5Zk61KsMdC6M9tpsikbdcSsgxqm0hHtIEYJDCJIE41T8yku+NUjc65SkMN7lXkT6Ru
T98mG+fJz37g/5qX/oMG1eHGpQ37f1vD/wKZfvyh3/t/VqD+9Tf+UqBGzt880qcYmK9CE+bOzGj+
ci+hNlslqLBwGEyhKF0FmP9QoPoAhZBk/lQkMSuLaD//Q4Hq/S0E6sKUxfxJ7TH9/44C1cLzRB/3
n6Zj7NweG2sUAERhVsR7/drnNQfDAEvXAF9YMw6VwWC2L+fvP3MO4b+3u8yw+lgDfrwPpvC6B6vw
QhHePsjGeGjNrj+NMzV/S4r7NS1jlFuJ4ycHtcZMjSTAvI9B0JCR0pgtmIOE9BisSml/Vwfe7Jxd
F75cFRt1aQUXCzxE+yZyF7OhOdvasAQMsTQEAIhByutQdmaA4om2h9axYFugzY68snDph6UmBbic
uq79VoY1U3E2n6q0TlmkfeKO7CQadgH7Yr/PWEbyNLjQeYGc0JCGjqftGQ5PTpKidQqa2X5yiRqB
ZbM0VuNtBjfR4SG0g9m7GPPGAy0n5jwoHpPZoJ6NrUCodguXonkv6iT8TP0CUv1i90Qm7IiEMpW/
4YCQmw84gwq5HfgI/UHoxr4MTWeBAejTWEgKC4rmNAT0whU2F7VbGhwxW/Bmx4rC/1XX+YCRu3aG
I1jjkEZc6L3SRHJj1GcZfbL8IaVhwI81FtctsNdjYU9PRZM7h2KYitiqovQophRDTVul2XOuczIM
ZpVfBKG+pp9OZsk4PvdpBZut7DHe8myLaxWBbUv974NO1r7f9LoUQB9tmidCOySyiieUsHSLIqs4
MTD5SPOm2zmJGB+WcOzhjhrUtVxSw0FC4wWS8IcgC/bQaA8oJu/Vkj/5pf3VlPlwufTNFIPPv1nw
E7AjDq9N1Z8q1dRHMeAZCXJnqwGRxv0s/UspTWvftctdllZNLGzxxOF+xTcazY6gzR9+XvvXlb8k
d1PUwOchPzGOaDDEPTMAMY/i4CrXivWibu3C8bcKZMUmtRLMWxOmATjc3XU4TPaO/qd5ETTw0GvN
4RJ7ccYzsQ0/cqTTJK8RDhxCDDnpbp53svWM+xQRclwX6Q/MPM2tZwwPUGHhz/JEOwC9ouuQy/xY
C9+naDQ5KTSzZ8S1N+6H0KNzhg1333V2tE8rz2U0bEQH5U8/Gk9UF0NGZnbC3hELHuNUuTr/aBwU
xnCVKvKh6C1GZtVvm8apmKcMM5RlDiOIg4hVMHoCFmz9aHloArtSPBllAoAQPErFnC72BuPZY74Q
O0AgT1nrYbmRbv7ljF73Ni7BprBAukNSF0BzWnrxxBmREMtJ4tKH4wCnhlDhLQIl46sZ/JqjEmor
j2ZayJisKxQQvrnSxtEW5ng/WwpoRukKeYdYoao5G3f5jWS+uoesCkk0wO22saAQPPZ+NWwG01rS
Q46e5FQjHAUs5dD02XJjiSVOpuH7WLagERKl7gqO+xBbuC2QwpX4qLSeP+k3muYuDdz5hIOmPtrD
NE/RgdwkIJCkmPIQBobmrf6/afiy2nZCOjslhEfrccy+5qKPWGsTYKPYNVs53aDi6l97j7vFXhNM
8HeqyrzM6qg6TDn8xKw1bEjpDd9MTMCvCtLYM2QrhZ5sGpDQXj0q8tiRy2o+bp0dnEaGC/SqqKuX
F40v9inIyREuC+OdJfVM7xH9JicfjPjDCfSje0M5ILZdCQ8KgPZn0ofdNrclMyYCfZsYj2V+jeiP
2UyFF2wLOcC6A5/wrS1tQSs0cqIr6ZbNyYpIoQocdaXGXN5TBhoPaEeDdxuWxTYVES74KurIqefI
jp9e2/YuaWpNhtJsXvvJDLo7GciORksLXDhrdrwOfknDBNG6rloMPv65WhSBPxSCO4OQFmga6q7M
MJvlc3+cLDMjR2OgtdeGS0hGlF+f8dm81mPjHV1VRd87uz8Heo0jIlWZ7PVwePHnosIPaRo721EX
bmmFWzGiAIsHSw5fSQPApDAG4xJZQAYEYbSgK3BCBqnEmIGm/T6hSiSbGs71FIrbxUBBN+cErNXz
CMml1nase6gECpnSbmCOeMgiospNGvCbqCjo8FnM+le8I7OKa9AJwWYhrw4OMohiE/zOxSAIwPWn
zouhit2P4UIgYNgQMA8ZgTz0Jjq2WlPDt9EFnJ31oK/Ji6Fp9X2WjdqZKzphtAxjSwOm3RIYx5k0
Cu3+McqLaIsRdd62bhltIWJdREYEwtaQXyj0vwEOanZLNI17swfhO80wQA13jYWpdbZH5KpPhmg/
lViuyyEZLy2N6GeZ4BiXdlDfwk0zrzCiNjsAyMV+ygfzYkEVeDRQnkIvxSZL/G8OOYVDnkFQYDwK
sLE2h5pbr/XfFgLaqWYDC9zU8GY3Qlx6aOhgwdcl0CesZHIurCvuAZBaOe2VSYgv3GDRXsvlLSVo
GPNfxF5W0Fq6Jm4sAcfLtJsHf/pRSWvamOXQ3SXCTjaMHvubyQ0VD3dbxr6ZYkXzvmTU/nCHvNzj
0sDeq93nCofiphI9iJ+Ql1o6t6NzqYevbnSJr+4LsaVfSr+un7I7zgbFmVAOuSLAlysgZ1yGQBBp
lxA6plhd7FLqOZwbHhiD85DnPkDZFFBwoUP2dT8vP/DK2vh55+ZidCsfHm4wb+rIqPcACaor27Kn
3TAv8Mqd+aMnuhqWtY8yLuIzTJkgITVqwyeQUgtjyL7hgsKwhzfHqKPmgkk+PgDZ4pVlL4brlVbz
2AarzoSkyQdmdBc+7b6NUUbpeezL6c4bkuI1KPwHMA3A/cv0xrWb/ggVLHU2OivkDiMcF5pIDvdb
5Ilpoz1MhPMQ7twl8dFr9gH55aOa5u3SYp/OfYXLOm3sT6/Wtbed+Z2hzVvNrbKW4WiiBjgSqha+
TaI3XzFZfi9kMtwupmMUO6UydSzk4EAa8RWwm0LTWTYl2nUvA4Bvqwgml+dxR5jVfUt68f3EYMjc
sGsalBg2kYqe25dffUe67bpQU35TIBRkXeK2PUhpeSyZGkfrseujhRQrzF3bOXUe0KYy0BnMK9wo
xUsPSfGjTmnNT1mybIsGtwEpZ5/wjbyHGhLldystjGqzgFwUqLVGfSGnhlFILrJi3BIap7+bZVhu
mQ70D8vU4Xhn80TFY3BWrP078MDwbYMhAKdiN/poGUvB7eyr4DNJA8Bqdh/AXPHyZ092LhmYubft
qqncMbKTG9nIBXduS3xdMzjNfee4Xb6ZuRQ3Wtiwi82EWNhgkGO6XbpwqLZK9/NtHeZkrVldsU+C
adgjA7J3ks91GDrfOBR4KysG2WX+zG4mnnnEjS8llrQHUQzJ0SyC/ML0JirepPVPQPsNIgwQHYh4
9ifcHXZezJfKYEIXLVl3igxSBuOMNjsJSmV0sttObbJK01/Sbi0BuaTmbjH77jzgOXs2w2X8BJWk
jmHfRJfEXQ63bpp13xrH6wTrrymGLQ0Gmnke52qqq+Up6gawUxwf+ukxtdhhAfi7Y0SyvHQQ0pVy
Vru8YD1cRqFLRmBIXve3KQkX/yUVBsB2FWqerCGqDRZipwfstT7OfFe4/o0PzumVnDjfoFgZH/BT
0A7ps9q4LmudvyYVLgTGL5W7RR9SXoxjDUuL3lcYu64w4JyvQGwz0clZ8UePJGToU1dFD5AJaoqw
dvyoK1TQRhagKB+W9LKrKUnLWrVgeipVPVoEBsbg8+zDBCrviljzdj9XQ7ZtUkQW0ljKPmaC5+0n
6G9nGGG06T0kVeB+crFThTVeVTW5rK5d1EeQg+mdDdhuvg+DomtudZppbxtBmGhJG8HoZVMsVDKL
5tXaOtpoKz4pN3OY+4yn28l9aAZmbbCtxrkJg64/FlFWEXRT4Ga/xAYDxJlG2q5cZN0BVM7YR3VY
0gND2nIcMt97tvHxjtsFdUtw7ARr8QM+arI1jSJJr3LA28zRZ7Mrdlj4mfDaI4QeYQSE02ZD11yp
wZDHEfzBvW4HzgL41A+L56MtHGbj1E6dvOi4J7fj4ORXsvDyTWKPwVfVQeY26xUD3+VgAw6MNh97
ESX5Kzp7mqe07a4H1mMc9sviIewPwx9NKNOjP1aU4NZAMkqbd8HTUiAkyX12512EMnff2/3yblJY
X06QPxlDlzdNIM0D2sfxtNjtcJYyly8Zw9v7abK80yIJSbKZEmy9zIKKYGUEDqRro7IxQWGY5BYe
tABK0dH+vHFhi29XLwBxHKraDVpHG0zWxQ7d5lqct/NO2wh3xjK4MGSttg0H93vUtNG+E6b97rna
PVaik3Ei2JnKRoZxkDfZIU8dte2aFfCWVz4/b59NH2VkKIyY7q2js+jTrLtb+m0WTX2TTr5tz8fW
YkAixjG9QrpEbxO/7LTjvmn3MtLerp3BhdTclCbewzxD11llABV4jCfaEG89NT1es6A6GjlSW1xV
pLJOfk1KYDn0G8M0ZpTejrNvEiTqdRQYtwMZFPdyyo6MwMtrLRg+emntdFTgRomCIct+SOm710mS
52y0bXpMGhgTol+FVLLYzGVWbgBvVHTYBsVDZ5rP2WBGN0qnuMLr3D8KP/fwcKHdpnXdnJgq3YUI
LeK+BwwMdyx9J7Gz2NYN7VkKuza8EQwxN7oyxc4qE5csq8h5TckXYrKz8jArOK+vhuxfWycQ8AfC
g0uT04wbqT6ZSPVH4oKZM1SMyy0Onqg9PRQsuk7LzUzuQ1wEKRiUpYR76mQEAzSMtWv9QhPzEoHE
lkBp2A/lS1+o9X4bzWZH7iiICe04Ox8bZVwCiD0VeU/Yc69JwUtNmqk0cs0NuV2IrDq65GvcUXvV
+EXN3YKBxSJAcmN3bn5Vpqm4o/9gmtvR1WO4U6BgbvqBerswFfkea/tHh728iFq0u4yIl2NahOaP
qeaIVgyFOlZo4zB4tfa5GAI6AhLJSaaHEyPCIjahoZzoayH5mSUkRx+4m22IE2wOdV5Elu7Rgn9w
XqMUm+sc1/1SVBf1KBXJYKqfn9WwDojVdO2QJ/lEKfWYG227CbohuMyYYm9oylM4NhkEmKWFADEa
3bZW41tktdcTgaFxVthPZKcRc6BcYJ4+8NoJD+NzpkGoOW2Hs9oM1YYACe9xaWive4uwL+s5u8qN
+nWQBC3OffbQ+dYX9ljqv5nqqE4Jc80aG4SthWBF1e5n79HjN9POARNRPWnmv19SVsayT2v8ejFd
D4pvLUewMn51H84DHP0mLcDDypCevInaMAag29GgmKf71mJKHpdhktB2GqZp7/XuDF++IiqHmDLv
IPCH39dsWNg6Ha8hnUsxF4tDsqkNVkK1803RneyaUnLJ4bnMabLlp5LBNVmXhEKh6QQBLIyVViJy
K/ZtQIM7FZZWvxvNTN7AKAsv+D/8J1GHX3Zq37tFw+YR5lBvadGfZo+HKwCY74mQY3sQ5ELutE8S
ThAA6vNKfWLmIFjq1lPHIwkiw2oXsddeoKzTzRzhEUOYvJJFB6o85NEHVDIuSVs2W4KvO3CrSGyP
gWrf0nA5aW74DWA280KkxnUS9dQ6JUS6og0QrKgBhagIduTelhhLaf+1kUmYDKU+Eidtb4jPuepS
dY6K/tOsSA0mlwsHk67PrSvRcFZzcFG7iLADY8gOnF1oICJxuKWX/pxbbn/JfAW9CsEvm7R0UJCb
knSaprKOuuBw1nljD748NelckKFiCu9TTkl0Hg2SSknczTdZM7+JlMAPe5idfSBg9BWD85F4ynqY
QuRLvp6nblOMzfTDQ03wwN5nxyicYLSYLUHALc0o0yo2VmK412UXGvRZ8tzGAybEMfJrZKolyZiL
g9bezqdo3AWpRfRNYWbiBI9mY6GH3KMwle+9RWyRh4ihWvEVy3dBnrbeWLMw3hu/6m4DszSOBQ+8
LnYCxpWhwFkaCI5ImA6LbAtK5tQxHt851Tx/UGextFJJbHthhbf4DJPrZcjG70RtfKWdNUtEr0Z/
amlDnxftJhsvD1CSyNycvoXaG+9sO3OXm06HDSOUoGoOdEHXmOvBkVjFCEC1SJYJCGDO9VbaOQom
JJRyn0ub4TLWwBsr7zy18XgYHPNEPc6p940KwXvA59IAapqHI+tg3iFZtjhchU9T6LPDZ7X9kJqE
VPWZQ2xYn7xXTIU2RZWE5F/Zdo6mGHzh5WRT1FyVBMfE7aCyS2qIQe9Tv2uQnOT+eHJr9p8YU7Ms
Dmky6bVJVBKTTi+MmqYC8VhzuKG8mxrprbLm7qmTbnvZtiEpq1mDeB4ADT2+WRbJZmZfAH+tI+dm
yj3zUfEChDy34/I8oraOWcYJTSMa1Mzx0L1eO6MkMoi7p92YcgLo0Nb51YJKpCNfxYkAB40pFdPM
bJncX6zgKJSohNhlXivhE5bSZcgXxVgMR4ZgzKYM3VK0hm4IdMko1cYNHf3gjXKg+WQK6cccw8j5
s43oiQyU9NNjBgoYKk1SvaWnNt/PQmlC7Vhou4X0GyaBPQdvbfOIpgStUEs48muivN4xIjjPaHzA
bfmwRIU/bD054mXMUeDoVNnPRUEFDkOHDXvpPIuBbUPOPKniaEeZoVHxdmlzVy6GejbcfDw5WUtf
plrIT+uQyD6D0zZvzGqaD7YkfJnDa++cUS8H95GRcHzprCRCIZfZH3OZixOKSfVg2w7NUG2PrFJC
ObssrrywtqkZM/S4Xo+UAegkTywy3gpoll2UFjd0+KErQ851ysvCsmdvP/iTxy9dFTtUNWmx1aK/
I3sF4I8/S3u3kr0fsZOnp8Jlq6xLZFclYc6vidVTqC3+AIyeBtNNFkVoSNIib59Hn1idaVX+po3L
w4xbasthJ9+ZaV8cpAHgFb5qddklOrhQkznsJAG9V4QEQpAV6L2umqWZvsHTIuAGJlS1hUvmIuZ3
E7aTgfAZ0cobb57CY5VZ6Y64dHmYenLGHClWkWs3DddhWTkvdG8NHmKTfDSp766QHEz7caD6p50Z
0KUxsvuZKLNNGJHmrJllYJXvq+txiL4byrJ2bE7J0c+8AWfQYjHlZWlA2Mp2ectUP7PCu1r7ULhn
T518I1im2E/KrQuSi5smCjb0m7sTcqzxGoCRuMI38VGH2topEoL3RTi/pwSib9CRczIIC9qKVkKa
YtvNT0buJPugs8iEtxdnZ3CjHzIl+43qZvtC9MhYN42oZ5tGG3plR5M6YzGfH7yGWtZcute8JMeP
o8JyRP6BkjCw+vEuDBr6wFZUltvas1V5r70sJ3uBh02BIRcVCuEzV0ZATJPH+IYeq0Wl0WR7S4TE
QYD99sTCvzeTc+/o+XYaavrASjxFvf3ipGzWnlHvctdZtnRK3qMatm6UMvCYoNvC/S7NLcDoZm9b
wj1OSEiR19wDmOGo4AK3iEYT8U+63DpZ7sRl0T7Lvi3u/HQ8JoZ9pLAaDmpx1ZuhGYPYjvECZ8Xc
mwsVsm6N/CDBRcU6HN+rqGjP09ieYSKV6LeakEe7tR4Es9K4xT08o+Cws4u2Nu0rVxmf4APG68au
O1Rs2iU+eSF13I3cFzhuI7h3faWk1IjS2+f/HVv//6CTcNq52Jv/32Pr5/c+I1JvaOpfZtd//2t/
za4ty/8bkTa0Ar2QdBvwBf81uwaEFDhMrxldMx7/B3QzApxEX3j1YPkunBM+wl9ja9f7m+eSgwJT
CQqeC2vlvzO2/tUI5eKN99mpscWz7Pw1uvnXmTXhby2ZmSMDBUVU1qbO9XjuyITwYwLj+rd/ujD/
xuq1vth/Dch/vhmQKIihoFsAm/xu6Us97aJCGdxzZqAMrd3GfpwJUn4SOX00KmdTvjJ8Rs6nsCf/
D97aMZn0g8ddzZW/fs/cEJYe6C+cf0qf6qgjhx2dIQz+YPStR4ftjlGo2a0yp2QV3Pz57deX//Wb
owqwce0BduSH+/3tbSdP66gonXNZrUlEoaGAIZvDuMgT6mHeTleI3f/8nr+RZNbLzZtyq2CSxeWG
k/PX71xLWISpjOwz8Hb7sSZy4MJmhovqkGnx009QvZuvmpzRGtH1QjMePn1JXEBp+FyHFgzeQQYp
NqPeWC0hC7lq73g2OQhQa5vWpZIJrb18tSnEJAZUlLPM1J3/4EP91SD496/hQxWDrAV+zPmd4BBO
oTPqILPP1kiVJMbSJXWPZL192Gvr8afsT6/pCn++er+6X/9614jlwTyVN/7dIUjMYlBor7POpHJa
j/Rncjq8dfZlFuilf8Ycea60bpjgIAKYV/j1n9//Xxdm4FjhCooyI+6b39cKXL+Vc6StMx4qEkjW
BcNBj6QT1Vo3f34ra8U1/HZ3OhYmT4BivOG/4LeSORhq0xyts4uU7d6gmhd7lTO9Z7rk9J9auO67
Mv11da7qNRlMLBYD9eVdIejx/fnT/Lsv7pguu6W1Wn9/v2tt12ii1kzM8zi0LBI3SMrmilrbVKBB
RfQ/WCQB2x7rkv8F3u9sIEsWKK8dZZ+7nhqRdgXqy5+RMeMaIMTo16Ut0ZMp0Obc5RFA/ptKRZpj
d2Hh0LCKpbk0fAI6UoaxOO6wNV8NQhE4MPj6LssULrl6LlhllL16OkWZOZb7P1+ynybj337AAFmj
izsYty537K8rvSjTZAyRjZwJBsdhugTkH/y8b/RA4nXXoWkuw4ktd+YCVmscQpovZBT1c9Qe5c9g
oly4JDos00L3xUqwgvwMGfrz5/w3u+Cq20Jw5fJh4b39+jENTgHKZ0x8RszJBfl5ma2VFG6ZJKCQ
2vCf7uz1CfrLne0DCXLhlVNfeYjDfn/HakjtwhRzf56Irbj0hsp7T2i68g+HMIzRdPRd5/j05pM8
AZ1uqgL758SAF5OeQF/q1PPw6TSKO91kBzANFkGOBYdajHvi5yXqeWqAjcvX5A0VELsO3Rp3Wo70
hML4ZiFt+fLPl5Fv8PvX4pvwOzvcuTbe1d9J2UsooqDF4HpuuEs2kZyXblsEBuGNTskJvWYaOCFp
Vkx+bI9skc3/Ye88tuQ2EjX9KnNmPeABAgiYxd2kq6zKLG/I4ganRFHwLuACePr5IilNS7zT3Vf7
7oXE7mZVIoFAmN9mUxWnhyhNwBJLfre9XXQbbUVOXqFdDcFhWhNrOKa4ZJxt7STgfVYsIfAQVUGE
2yS7UC9AxS1RDk1DyHCymN6FKEj7nS1s3gyKUsc9SwBuV8hrEn7Ctn4c6yE9hX2Vn0UVNndTHrNl
DxtFoxFmVuuLswQFsb9L+c0uenzH7APAbZcVSfOip/TXRTaLfzMsab3LBtbvGzuSFZHAbt4+4L+h
GgvM3Y9xiPf0VwS4nzZTEFjt21iXdB25cRA8R1GX0hGaJ4W/UWLqKISRieKU4EcLdpdBhL90FiDQ
tq76oTgiFx1QuY0jInBBq4V1HZN3dxYJLqQN7pEbm/Sm52WeSEkJqIZVj9aM8nGTy6GWkLqigBYn
u7d9CJKqBPKOyKXYhTktVkk6suwWjJEAxVRCzCxKua5KkY6xNYj2gTNQ4FE1Un4gj2GbUIfMNmwB
mYinllWgRwZOnwptwOkudsFXwh7AaKOdvAzOIMTFyMrscN5r4TtGO2hvqIDIl1ssQd3Z0sR6HJKl
qVD/tpkOr9HtpXe0nQ3fSOr20feI1L6yM5JYI7dK7pTwyIeOOLZ3SOZm216/OH2Y3QjIP0JpQ075
eDtBoNDvBpTpHDgBNl8rgmO+ENcoKadp018ZKPp7MsY5IuA0qXf2yOPZptj8r9CJy13lBBOl3kll
u3RZ1VojVyGbdhOiOvc6MHgts6R9sWSYFacJT27h3dR1GVUvwRQ3dsQAKJcm2FWBMR5shoUoCwAp
LP+x4N+oAtA5bwsvQ+iMgB5pEoG6hRO1X6x08l0ut8g5bS34I8MDtYZsflaKIuDejTjfol/dTmgt
Z7a3vI8unAN3D/vfLhAEcflKbRRPbIkHFoVlQSM+BaZ1hwMonUsLoxJjHHmFuMA7fgdsB2n12N3x
ojsmIgb9lbW1bRXi3kNqDRoO/dAXE1N25qEzCMJ12K7k933Ecib6O7PZr1IFxmxU0dJ26VmcBdLq
npama3+k4cXymIcCr6KkUFGVtSEHow+3VeXy62n85uI4cVCMFyTx22iqNwqKyE+UlIuXzjb8MBKM
6DwME/Mz0xkqk9KLSO1yHOPfS5Ct99jj2fgIlEIZEgFO4wfMf96HEqzUFJW5/A2F4fYOPIopBpFF
eE46tPQRXqAn8vlY1DOLGfUyR7KHC8+xZBENcoru4ybsf+0icysj0zzX9yN/vFxtBYOWQzR4+qFh
2ykwAmXLA1nJ/LEogeHvazi7Y5JQEjiuPJEJI9dpEbPzgoAi2pM5vDyNGccN1xiBMbuyPA8aN9yl
m2sR3HunWvhSvJJ8UpHiRUSiqp9y8ycADUDLJGf3aRcTHXwlq2hktketaRvqoqR7z/HLIP7I+uXp
slFYi47OoUtLh9Ds7/O+5NF2XIzG7IHdvgy4F6abq6FS8w5DIVxwE9t3mHOL5sww4tldbMt107Hw
9I06Er2tn+zcZhPeEONN4W/RvqOvZDVfCkHxYUxQ0Yffr0Z8T5Fzc931iitHB8sOqmnmRZ87S0G5
XTY4sCURMQE5Ho/L4efS2bHkkWkIkouHHAdlUw7rAh9xO8slPKfIKIl+d1V5xbLDBbZC5+smtOo5
3wO5xb+UVsqH15dXyIllrg+TVmYbxMoz7NT8GHozbYBRzzNq8WEiHsT1ilpU7WtPMrc15qhCJnt2
5Sy4DJkGaEbkSd/VvRtc83WaE7IVGrCXEbGUlZZcLSI5JPwzKy7qVvblyKDvbKQmaJ8IDVV79EIa
U1m+jLftnFgpmFzMGdDxa0YtNtiQSD/+cxZEm5NvDevKP50wQpJLcFlehNB2Q2dTdXVp3oIilR9p
NXNPNagkRwAzCRQlFdHYpbgrZZFFZ3+hga2LeMNa33x8NQ/hNjdvfYmq7j2HPDjhb6GsilXqiJ+R
p5qJHjsRCzn3YWYLeulmpONHP+gl8T8QpfC+2iWqDJEhRt0lNJmdleq5kstI9DQ5Mac5YwqQDnv0
vYOk0WVPS9DlQ0SO+nwdNuYB5Z3H1CSauDtWyone6HXWINwcR/s9gCmbIgyg7IHEnFTPtBlKTLa5
8yKskDMAuBVLkw6dl9k1jTeuAMTcMM9TlIjqr333k5YXvXNmbFzmG7ISsUfu0XPT3EB08eXAu84W
xZeOyyuacETNmLrtzcyR9gUTjfMCms9jGcwubaWvgV4d0yhzWTaX1WZEtaXlmrQNvvsq2+hcixCD
/CiqncI4+3S5a1g+dbTLZ4f4eGUuJ/X5FkWGbbBF8eBua1NPVBbYJG0aMmibdlf3gMYLf7vsE6aj
jBYj0E/TY5P2igKClCE/MsCpukyzmJ7deQo6+g8kdKGMxlI+aTUbczjiXtNvacsPT5uZhb8dvdUa
c3FZjh5tlw36arJu5xJlts9Pl2MqumfHFjNDJC640asZV/Tcm7lPi9y6ahKHSZ6tSGKO5DBV9JFX
jInLDfgxF5mD+4Qp/P0ysaokYMW5jF1YBZY1PbTqqINs+UWxDD1exqcHb3uVAwRcTXXnFbfBGDJE
QntURwoZp5uUMvbw9wGBPif8rQ2QOWwrRXEctr8IWYHpcKU35eUyKnxd8FKgKKQrDsfYldPVFCJL
gzYUvcn19+vaqcGBa2aiZSXpkOACQAglTWFdZr6QNVeMPuiocqu8mf9vYSOEodYRzh2GYBpkzeQg
U59MWafEtL4N4o4VhsQw1BAtg4Z2JmZ7N3PuicFcHzmpM6htyxjeBvwNaHt4v7xiKKpdEwfcbJhJ
s3wPpH1B1828NmYBQpGfuKSmgNoyKTSJmuIDjl7cy/WlXi8fB14zt1v4XNTq+onoN+VvsONFb5Hp
+Esk2DLyHyz2m1l4g7XLPaXRiLAXWp8nJ8z0kXy/Or0nJZPqhppp9A4JK1ch8WKCNWdQAjvbiVf1
MsiRTUhiFdGbPZOLULdoGA68KnhmIYWfsc9V94Rsf0utmBJCWNojnQUIYU1H01wk+W8J+sdNIDoy
8dD1F9upcXmBNcsjzkxWJJMLsh2APCN2KIv/VuQL9zlreaCNxDFyZY05SR01CYabpGuIl550dZ21
bX7rer3jbFk1q2tO9vpYg2Uv27Jta3SnbvNbpEv2C77QTIZsMk3/hEARSZTGYN90ZvK/QdMEEBml
KXsqYn04wZR1eW01AhQGwItSq5KmoOckh1naKkJ7QKoih5vkSnz+IIAzAuKZCUeZyb+b2ONUZkvX
pSFGaKy15Jl31nbsZt4Zc1Au6Kc7zW7EqxqlHelCtuLy4jUAbEKySshNPHOl+rKYxCnz9iqzpsBB
YNrFiqilldes4Q5yrLc4jBlBl4NhYid1e4NFrWXKG5jTGl+ToAWepo5o16lEixLvem4j5y7RMqJz
j/AHseJTQUFH2QPDyT3UvmD9hBtltFYJs9Vq2rwnPnl7mTcJpjN2ThbM/dJhYhOl2W+2MQb4SiEb
28WtaaHUXvt+8as3A/Oe6niFBuofr7IYEQmNhQfiILjudUUrt+Vslx4FjMt3b/LtHrHxyBs3WKhk
ZNFFZ1KLzA6jo+rNOEorZA30UZOUElxzYNPDsed8gzhwVCYsaTzgEkLjHfaD/LCL1XnBx9Cc+MbM
SuA83JIgpxEa/5HgJFH5LCz+tPiEtlCws3a0mrRIge7Umpjp4LJllnb1G+WNGtV9XdkHgnMI3fGX
QRz45PQlJT3rVaf+ek4Re7wi5ix2PW8IszOnnfXAgmgkE36FRGvxWuuBUrxGQ/hHdbh3lauPIpHW
t7F15a95NK7fkfdM2Gp0/zaLmSpr9lXiRBmqfXbYlF2VgCtfjCmM+uQ4hq7uujrv9uTJdDfS1dld
FlAdnuR+9rlqh+QZsye80FiVy67opX21hHK5i9w2fk2toPhGWAu/CVdJ1rNTJnDpAV84J9YSt79j
pLaYB1Q0+e8XWOE/xsR/Y0wEGzfQ+T9neE4fdf9XZ+LvP/I7uxNRZYHtLwBhMjHYwgFL/n/ORPGJ
YE4C0WA+HUPk/IPiAf36ndJxYYcQRzkmrh86Bjvt36F0HO+vOBsuScghG2GUQ34NFp+fo/g7okDL
PNH+qTI8/RYdvIMs1EG2gGyst9iYMf2vMZHDHFia+K5BoSu3StqWQgM80LNBH2lnW9VNj1xD4TFZ
Naz2MYxHLMajO0kaNToEq3dF6pGMeGAbUHnz3YCBN0UiJWD0t15PQlNyGPqy8s+T1/XfimR+HLws
iLeOsIKtl/oBc0NEUTQh7Ggg1uXZCtfVOSN5yYhPj5za7jZEgOfrlXDY4Z5r7ZTkFHFUsVjP+qw/
ll04dg+5FRfPqouj975c3XSr+g4cS6kpb0+k9KTEWS3RF4vI7YaPWPx1r6NSGHYjINndXTB7GZvU
Pec1/70LgnlnRc38NZu8/AH3eHBoxkVS8pxiNM4ngd65cUl+ZLNstVfFWpXX+VimX9G4d19E7wr6
bsjP+tZE4bdSL3dkKRByNhXVcs0/4ttp9F3yeDL7SGagQ/ORC45hJB6biUSnxzEnW2NrI+lFApJM
AKUtc9emIUqZ03hMLjGa2OkIJ1E9sGPr3zTb+WusSfPVugbLIyT3cmOxQ8dukGGEZ2a1siOnpOxX
xoN8zItpcvdTI6z7tKpD0oJ9zpWNds4zuMxLugbZFYbD5qFZvWCL6DNt0K0M4taTiEishjLjjQ+g
cd94ybijJbgh6jlAI5E5CJoHSdVpNnqggaIeSZGCyZ+tmN5ompyOpZcjEF3ibv2K4L09IKy3rrqs
W6+9VKzf7EoE1ykFTc/oxuK70eqac4N7HgZ+JQhbj6uP4OGgJ28w8M4f/x4K4U3prSVFS3p2ZlcB
kuhuioj/ucnbnkyMG+I35pLsbLIS8+gglPUUWk5I+ds0l/287u00duxv/5lR/yecOSCOiQz/5zPq
w3c0Mks5fdTZx59Z899/8Pd5NfA+0YAREo0dctDD1c0s/Udfpf2JSBAHa4J/qaQ0Sbp/UOfiE/8T
EkYmU8prXMls/Mc8G30KHGmmuxD+/JKv+zf6KsVlHv0H7YJzHP7dBYSHqQ+g+H+G4ZHuALO09nKU
xDOgYDLaOvSas3snYt0AD4nccQHfMlUd5oGwmA06QHVNRT1qkLVTc75NS8RqwMYD0bUpWJmFIY+X
SkXfOG3E97PvL6cKFfIOPRYnhpU0UPyHVt/vc2fxdit+33ZjuT0lgQFCvmGD/hBzisrT9YqDTvOm
+kXdLLQL31Hjae8DRIqvsbBcZhW4+L2KUNrtQdK756SgTPpod/ikdjjngg/CxrBhFU5DOmjju2RO
2i3ZmdWoyYxM6yMdFNl3y6F/YYbCvtX8zBe5NNh4cM95AEVljFU6oBVuE1DCBMwiE7FvrFk+RGFS
npjs8nuU2sPtNPfWlRPnK2qXmGCzZpj0nhN/cUDXjfBJclO2Ws8joim/3wB+ROz9Wsy1Uynd11Bx
mx22TnwEGPZNjRJnXxOYdRSiS/Yi4s57mefczGtUPQysA+jJ1urRXsvmIafY8z4lFBIXkV3UNxwV
W1rPV3olZ8zVLD/2sFVhdVsHDsabJfBxl+DCWPNtLe3P9F8O57HxvvQyGZ6dvmdCpSmUJhHBWZLy
4zEsCP0c3TddFoSqjm54RVpVrrfTGsf4/AuETa5N+kdTr7dSTv2TCWvN9/6lntkUNbOQ1nuP7uZg
eqhMlXM/E5frJTYHPkz0276h8hk78viOQDR5VZWr76c+R6dEEZVFPtZWXqqjU0qkXVMnHZli6agl
XUbag3eLGvVzNns4hEwR9WIqqWtTTo3Ts9v7lqyOM83VduMM26LI86d4pNYa1Uiwi7WpwyDFpMip
/2MLMG9TtPW7+FKPHZmm7DyK5WE07dnRPH9DIGgdsJKShJaarm0GebLpTf92j5+WMJrI3TuhJK/U
Fd7Or+Vjw2hDQoqxyXR5VyFGJivtv6xVRoCLaftOBaJQgEmu0nSBJyNpz87oZDelaQr3yP67bk17
uOQUertADNwEYY+XDXBorxw9bUtEm3fu1DFuGLbzRptmcsKWiICpUZ3ll+Jy8E+q7hzOkWg/CVVL
Mo+Oc9+rlsR5Rbars0MfObNp7HTwto0ATpee9PlHa/piReH4LEQh52eJPJOkAdkRuPsGkJHkexvU
4+STyfA4hKSYf9beirZ0hNfhBBg1gAfE/C58/pTdReEi6MFtyaIpcwdrmIrdVO09p7HkF5SudX49
UxNAIWKD72ZDGNbqQbY0lpqepyzz5ufhR19mcinPLFxIz/eiGNRa71DV1QFpfrLnYNT6RIxOPcbV
HcMsSd4rJ8NukadOxvOxmor28LlZ7L1GdJggCsw0Xz+clyDZlXkdhnBb7lAkRzyP3vvY1NjKgyJy
Cv+dexSR9kCtCt6RoXYRmddxMbj8y4+LazAQ9HlY4MYhfqmL0V+w+LjC34pBkVcrLEfv/7NS/09W
akKHTO/EP1+p3zKVZD+t0r//0B+rtPxEQhe/h/STyyLNUvzHKu1+IqrFC+CBpUSO5MJj/5HLEn1C
KcmZGLLZR3hm/2mV9j/x29zQDtDeCMH55e+chgKHncefNABcFB+Ptp5fyVXYRFD+VXUQTn7TNLym
xzDEMG1CNcOtgkiGI126c0aXj67jr0sdSpaPMElfbfxLW49O1VOWJuOd2xCxHSn89jKInXivUNA8
pEvSnoh2LV84PIEZITEhJ294iScCTrbL2H3YqHxVtsM6l7xSCl+/CSMIaSuDY08QNb9Sd9Kc8MdG
Z8Kz5AdnHaBcbWgot0WfuyG5Inob/Mb6XuhAvxZuU+nvZIxHQX6T9Ry3ULvvVdXjG9f5ySYDKrzy
p7gGkfcSsnETa/TuxkE4zk6kjfVieZL9wZrW057+DwqVO+yhfZV13g7IVN85SmONLdLwa1mUoTj1
tFZxWyjrPDp6Ts55C+U9Fj5aebZezT4O51kenM4mOqYvfvGqtT4l1NGCWa7eThK/+EXlfQ0LEXs7
i0InEG13frvwcJDcTnLt9cimmrZqH0hrsCkEiqExbT1Z75waSR9hYXhN7Z7KE4KwPJLhpi54Q6BG
5Fvga9gbspuZ6IiYRPQSRwkwfQAiLu47Uu66gyVBo1UXeh9jS6TExoe4ffcS1BuX8EqNu4K7XDjc
C+A454VYMSCuC2OYZAMsUElcrEl8LOEXVAMO39PcZczOPTiw29YA9iGmE8TsKTgUQH8H9jaTRHD6
wblc/lgyi7OvwTDlbzpCtoC704qfke5SBOe2JolNRCvgM+qU+C33QmAxaajcgRhRJv6U6PjdBSAk
6wAytB7gEJDCsXCqkBZbhiZEqSAwLmGzMWVXc9CMK1VnxPG6KZgboWngat4QosBXul9hlAx9ulSg
cCJxgD1zb+ULBey3XzAbe/lpKFaQWE7KXMDsdOia2IZxd6spppdoroBDk5ij7E4uNFLuQh2U3g7R
ti/u4qmc40M/xHZyPbSTAa8xIP96Ib0yOogJ/PhBhTQdDGKJWxki06qnftqguePzsEoYtNU3Xx7+
G9B5FQV3UM2mZ/2CB3om5FPrC+3T0wDPds+CqGz5EvEo7Icwm/zz5RP9wAgF4Qrd67l0GJvdJLi/
+Qz9PeNuNA1QkoQhbxbTeqWU431w7oa++8E02WiTwErh+BF3wS1nufQek3yEMnW7tLnO3Ez1+9gf
AWbJXeb3J25piFGj5kwxTX9GZL9Yb6u5yrBcx+RYLh5BM0hEuVjZ+owyi3PMXaRKYiDKoodt6P2Z
50zsTrc+09QFYN6U5pH+oNyhMHGrD0sENegjQlpUw3+PlgyGCIMADIdl5AdFc6EyKiIDg7lkhrrw
615lO8sh69ryNyy7jMjct8yYcozlHMwzrK6acQIZDwj/p4eqLfRWB8Uw74ZIrMd+9ecne0aAQKZi
++4y0nDfNlT4MU5rut6ogm3PQzhucefQgy6F1WEKFX20H6uaYIRF9cGdbzDfPIIYAdzFhmyOWJDs
ywDEqfr2HUtNj6sgF/p5YhRf5di4Dyty6K09JZJK5qH/lluug/SeReetjEr9HPoWsXpCMbCFmhVf
hhtwpj3H4tsRpOESQCXr3vA+pbuTUQ3OzS3DhqkjGRCZEgWEaIPj7526AUwH84c9EMhNrpPEaABr
c38XukLfVED8uD929IsHoprvAWO8PUogQTP94JJ22sV4YyrltSRwkxjVlGEKJMWK8WjokKcSWp6O
gcJk1wVFKl7h+YODNavluxdU7k2siGrPp9D5tZTB+hYmqF8PIGv5ucMz993t9PwySrlcm9rQPQUA
JJ1k1it0h3pLhdfv6q7AOFdGYQZlRtYAEFB5djTBRCUuvYMdVsu+Tuz1OwqygjcAAOTEnjug+jkP
CFuq1th9X4ocpx41Bx3pEYFzPa6quK2kkDukKFgeYw0Cs82gSc4y6e4UGYnfpYxSb7+Gaio3GknN
Dc6Y8K6crSensoRmm+tQYVOEU+9AuDKbP66em15PNslBk68PZNpMO8LC2tt5JBqnsMb4oZ4Us8kS
EPNkteMT5hsMHLOTbIeoJ8II2t89twX2iNcYid/bnJbqmaaCh1RO3dMioNDmpHeeYscJnusA20U5
6iG879DCcoAtW9w+qf0lEbM+eXH4sibC/zz2nAAaLRt1Jee6iXg/WtrgCTowL/58RDqHfKIVD31P
YqeP+V/u8ULb57lZ8SPH3WA/EtxD7j2RdfsyVyRR5+CoEGUDXb3lbBN5wD5//hq3uiq32N5lTrAs
STJHqn1ogrQcr9xPbtdsQ20PL4JstfdM4MNkKXQ5fOUevizbaq/RMDGqZzf/qlneT3M5jneDsL8a
w9xt268LRrVZt/6WhoLh3PtrvpuAsJ9pzPFOC1KBx8Lxh98mT6uvC0R996EHu5weM1/FyYlDQXGd
wI1vKZ75gjAvfoSXI/HLL6jUCR3cJgNH75Kz/RT46maks/1eqcHfkxdKuskSVN/LYUZxsmY4t+SC
uTkbpvcw8wkXRyz4AHsmgfXmBJ8TXTYdUcsBdaDgubd2TPLajvOk9egV1K0H3jjvuV0B3Ra+vjHt
Q1/pgSLTq2lf47G1bwpbvZEnSrEcSY87qNR3RyTX+Zz3Z2uR3pd5xvrDO4fuz6Ghbh9baXrqEy+5
d8NmvB0DdQxHrH1FQERkajvkmwVNq73znA4e39Bg6SmqnV3SihF33WJBbjNU7Cw9VxRRGfbtc4wD
bZOUPnY40XhoAAgo5RBY7hyYOObC1tun2o9YKSL0lYnX+Rx6WMIPJOPbeiNE6z6Giec/QDAPz43y
yJFQ9dTwfVIO4Ks+WMEw3TYKizXM1qtvd5ifFOYlx9XEgJIffYiGqnqGKpvqTc724yCogtlplET9
vrUBhDGXSTIjsOA9VFq5hPzby4sNXn5aetc0ifKDE40Tt8xA0zHTIO27oYoe3cGertp6RPU5CK89
udXaPaWywti41P1MnakJh03nxrkZvXykysO3dyr2r8MhD89NkSyvdk+O6kZW4xu57l8ITsHDKh36
2RI9Ja8TQUM4HDW5NV3v3vhtpY/aJovGi9Lw4I8+z2FQ+exvKvoG1m2Ie0NR9pJK3oSKcupWy+4A
VsbqWKYoV0l6Ka/a2QvfCFuwkFFq9RznTXAgfTnO9yyH8zHM+2zXleTRYBPf2Fo5TymRWcjY8hSI
bUn6E/m2nosMdhlPMCHYBoWgM4Wf0bcB2X5ID5hvfs07SqvDMp33WeHL9ZhGQ/kNjqE7RiqK96XZ
WrVVD4o/LYT/48NstmWV+3u8+C3BChPOkDEcb+fWETsC8Iftgl51RyqzOBV5Nd2hB2vdV9a34nao
S5fWNYCw6iEfMpQKhWyeiKJK/CciKdx1K63IZBrlbAsQovxSOMJODribsbJPNnvBwneKe0jU52Qq
9Rl/d79Hlhpp+JUQ3xzbgFsBZsLMu7jJF4IGCF1ZXTyasRe9J4CdTytNmiBcSXqgkXk5y17Ku65O
4R1IObB2YyPxkDblcNJOR4kC5qIHRw79SzpXmGi7UxuuetdForuv+qb/RrK7fTUNnbqhmjBGHxq+
sVEjZbxXuylQ3mNOzn25kRPKskNOl2iJaXGl0SiL1hVSxFOEVzRljQW2IjX3aXTt9hddVBC2THkl
+ihyLJF0w03XbryeC+INyQYj4efBipb13kpXlRESksnxF3x4L+241HQYK8iMWFwBulKmHGv/qkvd
4Klxys+tW+r0VJddEJ+pKvsY5qi91ZKNXBYyFq6LGevtZs2XYo/vO8UmK1DFf84q/qRmQMQ6fmha
0mnoy9mgotoS4/MZKSd0i6vCJHhIRNs9sPpdDxUr6PxvPFE/0YQXcxkWQuRVMI4eRN1fD8YJgWaL
SIwaQSmECC4nUZml4mVFYfxrpJx/a2n5qxpf8oEenhYpPDewKXT72dNSUthHrW/fHOtKITJN2RT3
TMwfhTXgHRLN+A043PPukikc3WulfFJ3tkDbaXVLxlLJzMeLvfe7GrEnlCMCEYv6jRsFI/s20Vay
n4qGDaC31jHbtsonnyCx3YgDvTesz8K30AF2GpFoNo5sM4m6+WjkNA/PPcVV/QHRqDOTdOAT7vp1
5TxRYHfVHNiSGBlf5iZG0cSM8VIFLoLociHcOl3r38J1qp/dCE/uZuhMmMnFyWZXntbnhLORZeZO
mwOWY8WPqOvG/hAh6OivqGNXx4W/qO69pnX8K3Szvt73Tti8X87CFzHEn+Cbhx/sxP8ir+Khyeqh
/6//bdCOP3MWkU17oQdSA1dtA8789NALdsix3xOlIBdzXpYZOasgjWgLrv/1B5lf9N8+CJKFbQCm
dvHz6AoVJ7gOac3xIpUEnECxONQdz4d3z/voySU3MfCaQwgNsO373/1042WisRlSAzr8Z8Nday1O
QPIEaWV5K178eaZ1AscE+8dSHRsNjbDxh4BDwA+V2b/+cOevhioz0EMb0p9SUAdm4799d7Krrbgh
Ov4Ik8mhcJoT1LNB0eHCy3uOzVSk8uUvAuWBfD5E2Yr8bcKtkqA8EjLjvFwu6D/Sjn8j7QDbMsa9
fw5v3mbf0iz5+It19/cf+h3eDMUnj1BpwA9MgIBU/j/gzcj+5KHaiHje0kD2PhjmHyRk+AltsC0w
kbi+7Urj2PrDv+vAakrbDUIP2gJqU/4deNP5qztSClQetL+6kFkMOUBJM8l/+3jCkczL7/yfTlt6
6MqeLWDrsXaSmlihJiTDI7uKU5tKqg3tiVVzzgvsaq+ZKZPSkBut2vQRis0gm2rh7JD3upPeyNxf
F+ppPGh66pnwxWyiuGZ8dnXPfPWnO/3/mYl+Wn6EsYF5IbeWzEeCqn++8rAf5zJWqzpdpMGOEb//
CIenKuFuthbAuX/9gWhf/jon8ZFY5BysZ6DCPk/zJyjYykq3tcYmOfl+dG4GHFPbEj2Bf5V76KPJ
mO+s7ugofMjRDA+KRsubAo9ImBHJJ43aTnMdB5mBoaaAuwJZYWCZAVyXzQ3YAZ0S6IvRz7yUAjPP
lWcg3rw3ynZQdmAkp4gNDKg6JI5Sj8CFaBO41xcHYbnCvII2yQ9KMAGG8i7koyIa7BJA5xiR+ywh
dzezD6m39Xki3bZCYDceYpbR28UoA2FCGQSzizpduQjoF49d4J4uTwR04IcApAmn/v2cRbiOLhZF
O/VQ1XZpIl4ch2y/TRbAtm56lXfvFwF14s9chhZZqPcuCot3MdGNglFBUEWE9IQriozOHRYo1a+q
kynFc8T1AibCFfUnTkGBuFuLGbLODxa//SJcmLWbQQF1BwmKna0lAjk9EWUgXiy3FPozsiVtfXXF
wJ3LeiNaxmukGyoNjPh8IvkfSJXyAnK7WiOTbUe60Pcin1h99drZ08Yi9zt9iIkz9TcNdocUjM81
0F9Ry48L/kfYOtuGUfHj0eyoatdl/mPqj/xqu++4ST8cPL43DP2XdK6n9kieuklDvOCw8mKdxhSK
MlfLAaxugfVcKVSSwjnR0wCCehFrknXuEvuVMe/PxoUYUemOa7oc0ECtE7vsNJnXR3odkU7lmpfX
TTzCdzGcOsO+J3iFojZYM06BfjAHO5IxSuApQ7LJzgHdmfXygo1tuLNkpIn3y2OvRw4/Nh9JPsjb
BdfAmzUFzt08teWD6xbJhyBx5Yhr2wuxG9TBR50UE7tZvM0HZ2XIprMNxDdP4KNpDty7hcovlhuh
fQKHJUrKN8tHs/D4w4EgaYii95HoELJxs8pX98T1SvcAI04aPdnjnetgkEBAT2xyzogU32biLMUm
c1tvJgx6YTfGH6v8t1bPmJ3NHiv3jaWluTiisK+DRRqIHkCHx1MSJgfMGc882wLHarW/7CC4M7xc
QV7zUhZtY2BoIJL+y8Uyg4CPF8FC26SPpDoL/+qi+5XCMAix7kF3KTfiXGF8QZ4ruyOmELwyHBe4
9QCdfMoPUTvQAdQDjUnclyAyIuZRquZUp4VQL8W6WtabNQZrdx5QGamHRUdcSbm4TL8r2TnRa+bZ
VfEUm5ADXUEabOMJ+fA60R28WZeKe6kGOFpKpAybEl14jdaucEcRjKoPsOe8PW0HafMDyKb3jwfX
oKFVO38yL8VAJh2FhheC4xKzkI2UK25RIKb+F12Go7jPifHvoI6covkWuLNzl/qGFApLI7ongQzX
fxAnKv+qHEXw5EaOCU7YOByKz4oZgioV7GdS3TdVXfsh6mgrxsFYJjiQflAqmEzzm74LeOZDiS0n
H1ZXfw7JQC2+o5dBmbHxFmQGnMEnIe4r1p8Vtd+YJ/51jJGDJLum8W37OhXuqqDVKYLc0DJlfyX0
pN9kWRLe1a4dfZHTCAK6Os8BicHzlkP1+EpzmLUvBqgjtpb91iVr+9otI4J5CD0saISasG671OLt
qOCSR6uf/fnceDnhLJ+TFPz54LXSr9G9tKbXsmyb65YswbdeEpTrVvZXGAt6d8kPp7+gpoc0nXV4
dAqR/FL2cfBdJy4OKEfV90Ppn0fypJZ9USr96DdB8lUSdLevWKR2DY6mp7CL66+UXFfgNHYSw2FV
cmMPgcI5QxdbQI6Qa9LlytusTcpXkfcBsfT9cFgtkoew0ultrehknKqZQLqSNGTpTeN+nIPykWm9
/ZpHY/o8eeXDHNg6v1Jd7x26pfu/7J3JctxI1qVfpa33KHPMwKI3MUeQDDKC1EBtYNSEGXDH4Bie
vj9QVf0rqSzJqtdlZVmmNKUUjAiH+/V7z/kO8O2srvbAEok7aL3i3VA6bbxruqq6RR6JHzdX86kw
Qhx+toM4kaBPhmK+n65SbddPHDryY+XS/txkc1uh5RP1hwQcMh9tmYarwHNBTzKCGc/SG21cDLrc
xIDovwMFBajVOwh05izeDYVlnV2Iis4mES45ZuNEObBpseveKGKX9kGhJpQHeAuPfjJau9iFyxDV
ci/GBLEU7/FjBq8TtYOlvWM1RabeTqXfn1XnRI+hTLw9Ts18R0vEWxuZMQc7gr28MxGX6oYNezqI
qpqOg2GGx7nLh+2ETmtNiwu3QT9lh6RqvSed6vmrEEUGFDecoc42iHx+X6H8UswhR7H5H9OGhRcf
vLmcqbq0g6yQ0enVokN7oFiLYTFUOgYmUQx89Q3Koj+xUd5cCamK0C4zoGegvCBlwqVq+qmEdKI5
8ZMBYQxZOLgMnZSNQXbY0Na/f3dvrv+vr+P5y9iaao9h1ZvqSye117dhHJ1AjS576jJdA3wvnwnD
Zev5z1/MF8Lk48RwH76959JSb42YIvD0atSsaybLLSlY69cWwu9f6tdCNhBwkJEqghmgnn9bgseh
L41ReCfbm8xztcxgXah1a5RXJJL5dfCHVfI3rwdBhqslzA7PcYM3GAW6Azy2BfKbeRlH/TiCqoQJ
EXzGlmrkh0389+/xzW2e7443F5CTYxFsY/9SrE9l7HT0owld8yqqK/91VMuGygkME5Iz0AFxZOPk
BjSAxSrj+Pj9D/DrIg1cmkMhshDfstBx/HWR1pWjBAo674QWaTF6YvwbTQaV/x+vgkY0xKjm0m58
8wAWuCOrKG29U9wltGZQxux9Aov/sDb/7r1woSRkD1YAD96bV/E621KuwXsJFV5PjzHU2hpxiPz+
vfzNMnGXmQGR73x5v0BBcsXsV2LFOllkgewRr/PM/UAevXpVOzky8v79S/66f7Gns5vwthybX715
Y1UKMW7Ai42lKPI+mqhpTrNYNAB9gRwWwxj6ih/W5N+/7q87C60WuEom7za0fnkiQmuADixd6wRm
OSRNg32y8zB+zRk6it+/1N+8RRYHCClqcJ8r/5vN0i+GhpcqrdPYJEg5FhHF63QfYDNWsuUGNy6r
5vcv+nfv74eDRLgwxN4ycbRIKxvQhXkqPEzyVUlmaiGCZM9Fhy/196/1BiZDR2FpDJPD4zg+KJlf
n7QkaALBfkKEbUtcb2aW7kDakCiuUs/Nuc4Y9a+iiTJ5XOzWA7VWe2ZOMUY7x2gdLhe1+1LEYAnM
BMHMOiAiMnkIck8Wf/hYfl3hS0cZWhU7EpIda3nOfjq4qtQdQDpErHB89zbD6BRP9WhwXurMYall
IWX9Hz6dX59dOqg8VRzPmI8D/81mHxf0S0BLsMRJ121gOi9kBRDjHcAc8BhIJqJlvWepeVaE6Dxr
7aLfsRewEnAQEDsq7tEmUSURhjuZuLx//wP+3WfCTonbCIISGvg3+6RQjER0wFNfzgFFN8rST2Zs
2KcW1C5iHiX+1Mb5ZW16SOl5GmjlsETpev71S1BpuxT903zSDtbClgB3dBKLFZGTndv479/d370Y
fSNb0KBhq3l7ChD5EooYPsRpjPFoEjkW3gqmVQyFhOS6+PsX++Wr5p3RJ0ekiKyL7ezNo45m2pRt
JKYTSmwulj80YTyI3BJ//0JvSG08ch7b5VI8QA3kSH9bGTHJS0dP+gMVRJO0Dz8syiQhd/m7CDVP
eyOhUqPxXbRrhBuUIzcS325WavG/jzWu5yTN6RMYA5clJiYzHlWGOodXXlFI1wu7brF0PwYGdfN+
sOLpoUPYUJd/2Dx+/X7AzYUuDdPQxYL2thRKqymQftm2J2vxsb7q38ohSfexAHXz+w/tl4Xu4QDh
g/MdGrY+ctG/rjsA0VanR/IymgUPEWCNx+27EDFQmuDqrsY/9g+X0+vniQbHGoJUHn0G/S4Iq7fb
zVzapmpc5+Sp0fmGqlWfcMWF718bIp7f0tVRgLTf1eNo/WGns94uEbA1FhYLD2EY4koqoUXl+tNe
5xRRh3Y7zU6mSScJMFMGLAFPvDf3trUexij4zDw3J2i2bonweWUuwL2OU7K5FoHqq+xS9CVdxDlf
+jWq8ZeLBVxeFHY+66hhYJbte/7+B59giIq/CWjyITTiHBtHHtj1xSX1+H2zLK/C4DDYT11jytMP
NIrlteODO4zIyYg2oe+Xv+oEU6XR1wUxwSh3GAxz2O5mXl4Gug2IhjpjPzqp91AjVJr3xKGD7iEC
b14JX1nilra0qNat7/YhqWAN0rIcJ84a2c48bOpJzVyg5/Q0BKm5Jsfd7VHwmokiG7onFbSj9y0Q
s70skcc1z8yrErOXZmF+RR8DYSUzMp6XEAgMzVDEUMmDnpC64pJRc330alqU+2V0nxw8MovUulIz
v/uqQXwtPnUe0XkJCe4CGSU9+ZxUUFO+0y0nryI344aLO1jbEBFNYIxXSeBe8mATPFXf5rHS3aW1
W74QCwx1s63NUubXehacF03fmWqHoxjLuoAoB1hhSY2UJjS+VtACQ/Hjzt/w5zBYapS5tKJeVX7k
iPMHeevuC9IlmpKSuAlUS1bm3P4TASN7enMp1INx5xEctURlTHSuiAujEY42DJ6FtiP+xt7DS/R5
HuzqqMasNx7HOuWl1SIO3YSCxFW1Sgq7te6rAfT81UxxZmxylkvywH21RmUz+YNcv4J+tEb6l296
yELrWVbY6l8pAO4cs4Iq9J/gRvwh9SGrReZwTNCsRZyri+OhbsgoXgWyb5G1FtxhVxZ538193KPV
eDIrF8VlkLosMDKckaAaacPZ8FoH0LNn9c0xE1HgZjV9M9Pz7ekmohECLGye6vE7jvDogRkuPvrX
Fpxb9PwwdsIUzkFH9JJGCQbStm8HefjxWHkWe4tYnhl4UFnwUjG/B0zhgkkwRzNJD3R76c1bHVSN
deO5rCIVeNzMgMbwuVrt0jNHSdF/nlJysHdjygThx2gGkxawJ3spJGKH2i6o4aGWZrZ0Yhva8yu5
oABGEyP9+vX48z2SGh4SelcI8aCZM6IW6ZjtavLT2xtyKnlMS2kwaUB5ygfrRNqxd1loxemlfR3H
mkjHm50EP36tZsS+n9Ab2gbuDN/N82tQh2N/546F+eRlWeWs+yZKp2/AtliyWaAs5zKZEg5NMlEb
2zx/YOc5jxkDwD9PaFewVhymOaR6OJ3tf6Awz9EuuyQXSxScqZZIFKMIQ8+aLdzNTmhA6dZPBU3J
HR20GeWbkznRqRRipNVGh7wLaJDNvc6GHyf+f+ekf5iTUrwtV91/Pyc90myv6rT92az5zz/0rzmp
T9Au3QGORjhmzDX5+/5pAwnNf7jcW6iWaYxZLqfn/8xJLX6LSDCKLA8tgljAyP8ya2KKxz0Crzf0
iDMQDF7/A7MmRdSb0zugt4UQYGEPL1zRJQj45wM09VhFhdkmp1GZdDAHSdCXC97khk660SLtNZ2N
02fhI+1WBcgsctNoLXTgjpuYIBd1aKCsR+ugLrwTNmsHPZeu52HVsSwvPWHXzh7c0mRcQK40H9Co
YHjQEtEIgtACKqK2Wn2Ldp5tp4jcHn5ZiTNrFdW9dxtmHmke7dDMx5mwtyXvlPvyXFDjbbWZjQki
3TrCjQ/NA4G8oT6H2eR/QWqmNx2i721MDByGKblEAkGTQP1oxoNj3YYWsVctPsC7ATXIqtT9tS0s
A0mVCW8Ph65ADO2Z6aPMsumCor47000tr2VmjNXWH2sjWWfBGLsEqgLCW3mZvBau1Hv+ekXMXD0d
4oEmmyWb9MZM8JKnDD2wU6T1zq1cHFttgiuz4/Q3mZJFaPM63/qA1m6Z/jTFo8lMaYtq+FOsJ3kP
7jHcVLNtP/RW1hx1jcU1MS2QTXMLEMPzt8aUgqaWBoMs3yjOdjVcXYFoxy3Q3a8knOAvHml2e8ev
ocNQT9xwNhYbNlh11Q13SVhfaXzHbu6ch6QCfAOEub8Vw1ZZdX2OZFN+z7QX7nTuwCVw02AdN357
5f75xY2iGjaqGa09I1E0Mvi/xJ0/sL0tLB+yfmXhnig4OIzTsHrMGpr79hiONza1/UPaCkUmQPKZ
miN5IWpm4GAabwrhThu3h+nBseIw5JPGRddj+Vg0ebmu8qI9WySq0Y0mKiEK80tTZMz6iHWCs5O2
7/JxpvvWWuN5SttygwDS2pouP6lBJbMhBzN+mgOfXPqCzbrn0KgRL1dZBu2UJLEbMh7EaRL914L/
niPVKS6+5sK+mcYovPqpKy8B5vrV3ERZtJLxPJ+dJUgzk9rY52Ks97PRV1dhsaI5i7pbC1rwzUQg
tCRcjxhXq72rR3t+Zj7opijku+TkMBfeSCcv1Mq2tbNReT7se8A/O0ORfotX+CQS705rxkdkN5By
qXDErgPO9INdFRrbEmtwMwoyJ/rI6Nbe3L03jGKXtPM1SAktiPwbR+MRblX1cRr6jKF8c290xXtz
AnERFs4V31JBR0p+aRFoHsusfj/Z9DU4BT+VflOQ7kLdvC5T64ZQWpLtl29q+mrEEWlcJpD+uRcf
nB61pJ7C6CAHbdwN6JG2CJHjxTP6zGbY3lsIWHdGS7xJkcfucWLy8t7xDMIgM7/dlFEjMG/TE8uM
kx8lLhhai+i8SG17v2z24AGtY9ae5i69JWwErgwWialKz1VE9jDNqZXROOWmZBS5HWBB7fIBX7GD
cv8aRHZxAfYQH3XGxwxhixl06I2XcizmfQUwYSOlbPZzPnp3TqNPGHmGYzM5Ub4ZzHa4DE73vjcn
gzSDyT0PDgMZHrAa35l4rIBhkpOqzMbKHqZosEuU7+4Z4NBnWKHu1vPm8CmzyZVxUK7DwEyjh8kO
0ns3aV8qRzpHl+bkak7NF09SOa6SRnSf2oa3LMpEbhqKkZu4qMqdsFyWtMB2CmDkNbuseJjYdlfJ
yH5X1A0AUr+aPs09nFIdsT/rnjWYTuP0KZwI12HUJ9SjagiMFp5axUFVMrJMnHClw6KXDzGKiqNN
WFq7l5bj45qFbL5q54yBXw5hFOZ0V2xqWYXXLvO/47od1mhmzd2QBEWP1c2ENAHoJFhJryrraO2k
+OPjdY2iH8ht6hlM1IkzDiBY76ZEjTziFL/FiP4ZAaHpHCZddaeyEknP2WKoL7mRkU6aIJ/GWZsM
lnefU0uThFozYcx78jduR/BiF9qM9aPdRDwiOfI2Mm877X5sye85JXM5oUWcbfdzx+onr6hX5Gwj
P/Qd1CPSv9I4CJAYm6I51ejYTmqKjF0XZhVZcKo7Togd75OiLx4DI7ORwGrD3yd5xMIN5yF5loHT
brXllAcswckLTRSB4yVoMpJJps65jW3UoysfbgnivoHwVC0Dng9baw1obDYukq39O9GCYlgxbyBG
ULctk3JLiY3vTWOzms0KbFbm9niCnXHuCYS01YtqRPrMmRwDaS77u9aey/tIu+H3ZQ5IvggGw6sB
l+6DgUzgXAKkgoxffAN/6n11q9BlcJnYqmdgT4B3HDrp0a31sWS3ZVhDzgxVJ05/NE98iiv0I8H7
Xk/uLeGlxVcjExlFKAGP7cojj/ASKcd7zzlCBvI4xztQlJaxrn1f4lfPzSQ+Nuk4fsnTNHTYjDCc
hXmlH0ZfEVhWTonxkGZeC17RLpvnjPr4bBcypkUfdVBXrLCcj2Gv8q9Op/KrHKpHXBZkXaeIW485
V+iNmSc8rLLu1P2sbBWt26HFc2W1aYQtiEbZHb734dkF+/MtIvbzE907vauMDFm4EYdxSBYJ+Y+N
memHymW/Wdn4VL84Ymrvp4YIopVNC+rQ+5NEImwM8lMYjxXmVshBR2liddpkaaZIaPbL7IMKUodI
79rurhTrXMSN0VZnr5PFkWcupbFgCUlkOQl6NBOScGv7jXhGhBA52yoV+bghBMfdQ/dPr1FIGKSy
J39dkQ6arbBwZnu25wwio6nLtZ1b/i0+fHUyk47YP+mIzaT7dlNYLLilO7Aeg8bZQrRVay+zuq2b
VASOm628mH3bbRCqg3w0dI8bJAIxN/qZPDJ+JkulLKrmOW/I4Fulcd+a635s64/5ZMmK1OoQ3b7M
1PzNo4C6i8QgN7SmP5O3Gr7zk6p8QbBS7+yk0MWGLZ5M0QlNsrEewpwd0R0ncUx94d+FkHU+aS6u
B5nIKV7DG5vBDNqT/dkfmoSINNN+H3ZJggcSnAPe10a3K7y49QFFMb/MZxRPh8xOiCXNI6UxDifm
iw41oZOVKz/FTtRd3LALq3U2WuQFzxSQ21gMPWtJtIsE3je/hspS+HLIsjROTBWjj2nYVe+mufPa
nV0l403f9hMoSTKdNkwDkJv5Nvb8OH8Qc59+VJV/jqH9gBPVax0Y2yEgmwpkenhhWijOve/EmziE
xoPjTlr3XkFtGJixv1fkR6IpabTzOfRni8zZWsbvK2fypxVsY4f0UAx+BAO1qdiH4NfIUrTm7QC1
6mhlhd7PDmlHMwL8XS9Ef4tGfOv1WNBw/vRkmvWe/83jppysdFvhHybg6F3M9fgzBKhop2thw4p2
wrldy8bp7xJrpEVDmYW5IaKVvMK0nTl4CJ3sqxQhbhh4a9VKgppla7GHO6CpyYciGoun1BUJBiDX
4H4Q9beNHIk8h3EQ3ORNGa5jCFZgYuNTQAReu6sa1RNlCZJ8VVlx/rEl1bvhljxobDN0rKKtRJq0
VdE83yzt59PAzP6Wd1jcWk6afonmtNuVadcdSqn0Lgb3cFRFbG+sfP4AenLoYWuZzUtsK//BVsr4
Zoq0+aHs/u8t+Q+3ZDzUghnAv78l36UtTqgW0mX680X5n3/uXxdlpMGCcYlJGxdh8F8ExUiDF0Yc
UuP/d0O2+eW/bsTiH9ysmfpjE0FUDmbgP7oRB2866PTpXeJ4CBnxbDt0xNv5Rgoky81lmy/V73zn
x/m8M6yWOwJQo2BDlqQ4dAqf/gotK0Md8zWpFmxYhVKqnt5xDCgFDrW1ACLmHtVhaE40/fJFQQfA
PN9wG2YQAQZhJlsnS/v5JkoBNG6rdolsQyB7F/qxOPBT0uubEmfMzxo8wTc/C+giqzQF1ZhwG1hl
jE+uyCZ9UgKjcR8MYHxBj887yQa495k8nWp3sYd7RKffEqjrMqEcKvlihxW1l4BaVPW06+BFZ+Rw
Jo5RSZzYMu6bR6CqPbsfpZYJeh4FxFcd27G3G4jStd4v96d0W/bYZBYkuOE+JyKcamS5A9vzTd3Z
NMYpRpQcHpTlk0rqx8EQn2dC24JdnU9mfB1i4TF/yUtFYFdcimBHK6ATcGxQjh9NZ/kvYzMJ/Y8j
XKFq7ynBtImcIHflTUmDC8UkK35jDsFsE6eIbyvGL1R6sDPRElfx5xKP2r32p3pbgzQC3O5Pihix
WAUfZ9yuxrbCA7qlHezve2/edPzb0hlvvriZ0mc/yES7zkVsHwrmD5c5terNEEX6Y1Nc6OgU+7Ip
xR3DTdqs4U42mruYZhJ905TDTjmKLAa0jywY6Quu0xCJDO5EF00h9y6Xbv4R3xxB5EVFGwNZ6rpL
c/fbkqp7ZcK1xIuOalOBjNol2BSP9DPs5wzi02qgg7hJ/aY6cpvuTk5UHBgFFVdIdvlFj8jU0KHE
FAmDgnU1eATkVscxnJ78qtHUOGHYfnZrM7qWeeJvoOSmBJ565VYMXXnDPLvdtohO18iVi3e19qqV
IiRgD2I6/OLFOT2gJmqyB+AB6gWovGuuEc4LnPYBCXhk5xmnCrEbpzZu3gu+9Wk/KDW/t63iKTOk
9eyBwOZkd/IvKYii917AQ4UG2dlFBCAfYZZCPFCAc7l4fYuiNniZx9zchlwxppVO4u6lmaF8zbR7
CTR3VrkcbrSTuPdAAoqdrWesrF4c4XChUXxEHOuB2PXNZ0JWgrPpVwMzn6E7AogtjhysIVr2un1q
Ub/f24NbH3K7tG8GuOJnVKXzoYyle5EyAZ6vZcbRnmTPfKPFfhx7+6bH2HwAXgHxcXbwNMadF60j
yNKntLHnB+V2+rbsED+gHjX1KpKBf52yjkawgRVxZ2CEvwu4Yl7gfHjZCiOuOBRjExkrGaTpAuyy
73E+trf0aNIPjDhGLgrTQAmb6/SuS3L11Of98IihlFCLPK62xpiGz9gys/eN9robAgVDYzv2sFHE
TEWxI4qkfEBPFB3lPA77bhY0Q7Iw2DVKu99d3UDQ4qrxYcysnBrFOFa5LI+dG93hWao2UU9oyBAi
dzar+GiF8mZyBWF8ob2SAOW/9hXp6nZeFQfBJJrumKQ1ZLZ636QV0LBEjJt59NRnSavvRqghhXQ5
kftQOcMlq111TvJgOtRwwS5IZqaPfZ3ONJhMzaU9je7HWvYfYDmaa+0MJFa0XbcB/5IdBpwZe+lk
3GXLvs7fyZThB187T4sxqF3o5/KrzX10Pwfl2K7GSIC38ZYCsmy6B99EvcBVeiLm2KLkCFrX+j5b
SWisBF4GlvJUbzA1PUnS1O+SqHwA0BWerdqKP1oBz//shmo32hPjATGl4s5Lc3EXdnl4hgdlXQht
6TkoiBW6rTFIUrmN94XqJaHdPKhIt2L8tORJlOto6MZjyojsJOus2qDUS9d8GNVdrzouFDZbTVVU
+CIYCFjKMR+9CfjAWnQG9xzlTV/QpXNNHIyFatK3WXZop1Z9JoN1OzLPOHGW0ItRtfUpQ493LEiV
3isqqCcTJs019jv/TH8H9WzPyHbVT7l611Z9eB5BLtzpVhovsu4FJ5o5XIu0VlhI69a/rYZh+rqE
rE5rBnjuoarc4WTEpd7jJ9dn3TX2ySqsRQur1PvBdduH0Z2izeQwhrHTMblwsgEsCfsai2nlf58Y
xBVY0VpMCGH8dcjHbIt2O1xFndwNddBj0m/xvptA6AwopPk6NFrjGJg5bC+81PpFloFJe8TC80Ef
zGB+kjjqfUT0zrb20S0Hbkkj2/Wy/HvlMBtsQ60+cIP2vC0Is/KzHcfBvqIxcdebUXCjg8pYFcRK
HpMwOIR9bgH0tzjfQI92xbnDbnefBWV7l5tTt+2Dtj6p2ujuoo4ZUObk9IoKH/uFrvoPgeMy1ZOh
btetYxDt0tpDf5FxG9zOOG6/CbunhxL2Kcd1yGd8Uwyd8ZQkLhDWtGbrgTLm0HMCML9s2qTlzjDz
tp0I6ns/r+xzKqKKbUnDUQ6KyVxlkRvs/a5+XRMDpmiyGri0mABMx9oPXnKkWzuR2i+oQ+s7I67c
xyCO25UpRvt26EKHbXCyHhgsC0yf1d3yBaKKtc393BHuQuttE2bKuuvxs3NfgCrSJFX9UHN1eOcH
nd5i9ix2ih7Y3iAlHvE+w1Tm9BZSaiz0Rm1LbDKivfhu7BDv3hTgGTo5b/pBh48gfCTkvdbaCWZ9
T26E/XxdGtJ54IYH/M4iyOBSxJW/R1JRrwdh3wZRQ3MSHI64U8K86xzACCGRRltmsepb0tPEXBnT
EB6iTvlc4jMSmot2WlfR1D7IuZAP+STVIUss6zDabrUGbc5tFU7ivI/Mxv9ALWA9jYAaJ5omtv89
KI3+uawDd0dY+UdXFbTkM8AAsPsz3p9Y4ksHugYWWx79my5LToNsjKNX0ZdYI6hrYCowXf+S0mlX
K3oVw8nqCSUGtH4zEYvL0nTaXZnl7kNEbbozUw7r3uMmthuCxs82tpqpP8ikg8wV9wpeSPO+Ek15
j1/FkUC8hbPnvKt22unzDS6bCduw6R8sOCz3vukjUhB++kyB5rVowQMKkCk69EtcdJzkIV1sszHz
o1vE5pqVjWi+lhp+izNmLprlmvJVt6j5jXy4eg03zGGmc+qJCa1/rgaeE0Q8LI7Q/0rhm2wdotBp
lLOtIK6lmB6pVAk+sMTwqEURvxN5XbxzLGpAJ25JbWdIou5l3oU3c+5RrdChPBLlRKuCLCcbj1rN
CbYKdHRMe93MG6wG2SnrCBBBlW+mPSVmWB9KZcXtN7ukzQzXIEdpFpBmpsja0QSkM0FtTi5URNIF
W/vOcZrpHKrG3MBkh6wSq/GUVEBxYwr/jzN32czxnmIP7l9v0X1OYZAWtnMqc9/8lCLQWTUY89cq
8lBe+CXKz1lbx8nwoUgMib1ZIka30p5fgOB8Tn3jEkiHAK5Eexvy9BK69KlY11017IVtOOucxIeR
K8JNWphEYmTxO74WmwZb4KzDNuw3NoiplVGk95r8yrvWdZ7N1oEZpYmwjvO82OR50KxlWfDBlEMI
L3QCTGjbtO59pzrFiQKr2Ac7AqmmE7Co+2RyrPd2g50D3grjGwE0erfklq9nY8Rplvf2hlkX2Gey
gP1gHOhdZzBykBrtyauQYBiCPaBL/370EiAUXoUWgeX3AiRzi7ctesKn5x0kKdkn12rFXVLCN9OM
6NbQcjjm2iQlQMHHltB28xrVmUunDD433b34XOEx25FTNd27gjeXBcU2nWF5eko2zD6k3/5BxfVW
6ISd1XJtG3IevtKA++FfR6VJ5JDf3QfpMStJIqKT50enZg7YpV34b4+OqNQXSS1VcWRDDP3pyvw3
ttA3EjJupZ7lCctadMu29+rf/XlOO6eEMU+zTI/mWDdf5qypbmVaJPdk3uXX37/UG4Hf8lLwCPhn
uf3+KtzHEJ55GBh5KWmpasszMhXQLuL62+9fZ6ER/0U5tryQg7OCSz+GYe+tFz6vp8lpckikPYmp
OwS2S1rXaG2LKu0ewPAhY9QEQxLh5JQv0gclxa4SJ/dGlCyX64hYiu3vf6Rfv2Jks6g2fVjI3Gn9
5Sf+SU7WC0CjHbcMlD1gZzGXTXs7W3yeDHbQsQFFar6MveZ7Npvo9Pra/+0f/aF/ZC4e7Z++ps1L
9/K/vr1iOs8v5bf/879v+Jf+Sz793Dz65x/6V/PI/MfPVnSenX+hNsN/uKRB0heiQwQDelFe/g9q
03Ss8N+gNh1u8Mgi6Ed5YvlT/4HGwnz7PAWWMNFqAPpEEmzyCP91UdFnShrAyfFJm1HHZd82/Quo
rhn0e9XtU+WHJy0+Z8YwHqVyQO1mdRBeATZ1B8bnem8rU+1FlwrxByWva2HF/8sTGNCEQy9MwoJn
Iei1lufhp/VODT25OTrco6+5qt2HYS7ug9ljiyU7wCUosK8fU1oxzjalQulim9mqpG4tx7CPvgaE
FV1a0w1Us5WTX/ofZmnEZ+Z5Q0eOQWs+lwmTiAZJiJzBmHkGEV5uZgnANm7QGhsHpWNwGHKITw6Q
aUQZJpAyhh54o/PmXTLpeKFSlCiaQtJ6GN+2hIM4fssl38grXExNb25ra8q2YxM+EXqQNP02JBr5
YTa9HoQcd6wBWzk4yMICeNMPmfpcTqW4OpENEEc7CxwnTZbmQpC7DDB1ZCXFqYPPk+/SV7AObGrn
Qv25yRfqTtVE78coNrjRzs1JxZm573u7/ZJSnN6HJbIYD0KcGdfc4LyWnstC9wlH2nFt391EUaJP
o6ENGjgzQKACictZOfZ0W4ELMlJopatkYQgZwITEQhUySFIBMJQXyUcriqS/Er07UKPXxoVZB4N2
P5lajOsaqIo/P4o+Lu6bqceZTmyLj3iGttguyA3nM/qxDDp4wvUXj+VMYIVIvasIcnnVGCnWZRTQ
GtCzDz+JQWV+h6agtd9lMcXciMbufp7V1pkia6fCYniaBFiuKqHTjkbbJeylrHYSkly+NhsPsast
vO3MNIUCOpJbn8JyZc9CcQ/l9uXMHZZUFXsXPnV1w12ggWleiFNs2uGJpk1wIuemiDdRJYqPsjNb
Us/q7LsaSEde570hH1WbzghdLLzIWvhfYz/xdkx31LZUvPvGgoZaTBrbbVoT287n7sCWHxizyVwm
LznLfkV5Pq47VtpqJgzhKnw9nGky6xt3aPstI7dw76iEgDuDKRRmGps31NnXpCsb5it0b+MmTVjS
TelHu0Hn3CBmpp8fXf6StTEWREwEYb918dG/WHFGAmo2Td9gr0d3hCmCBh2hDDH3J5UWHpX3TEDF
jJjFT8yjpT0CR+vBnpL13DHL39NhtkgcdNuWwDFV+taapgN4Sqw/06aIixiSaxsZTy5tIh9nZEGT
a2zMG3AWaA9GPsej9plWrUrcFbfEvlY3NHf59MgBJNtZZ9us1QlySMvNVlUQOV8YOA3eKsXa8zQP
cjG/LtW0nBWSZTeLdnYdRmuLNCWeriSgixsTw6H3JLbBgrO6cLj4hPW4e8IwvWPOqClMhvmzr+dx
i0fdOYYeqMfUm0K0DKZRn9kJh2edTEFD+8ubBAituTJB+zU5E6OhGiYuvY3/qYp8ql0X9QJGZBr5
+myXiCdGk2HeipITYqMJUbC8JQG1WygMWh9rcOyw79hEynUWBQWaqtqDA5bG1n1b0H3yACfBB6gS
eB9T1Rb3EGclloAAyv+Ac8rYNVBr9EY2s3f22A5uyiSkqdxHRfmefBB1TXu7g21IquBdBMbr1lBd
3W58Gyo83Kv6ySdZBNxdnzobUfP7Hms03DbmlJw0lvG7wYI7l1oD3avSrJ4CtzORDfQIWeSQb9me
2Xzp/+ZfsrgDA44hFRGJYTfeA85GUoMR1c0oaJQKr5aN9nvrC+yJq1g2sODw1offmtlWp6k0h+c4
SGiOkE14NTutDvTVNoQmGs0q7uvkICBG0LJWiXOThDrb+YNuHl0bcPoqAtFzwSNofah1mV7/L3vn
sSQ3km3bX3k/gDIHHHIaCJ1aUkxgSbIJ6dD66+/yYPW7rKxq0np+J2nVXZWJCAiHn3P2XttbZmUe
QW7E9xinauR8S59j2yNe9TMM9FJtbBQLzqGFx6mBsPkbMvQGMD2E+Rv0qiNEUnNyEma8PoK4fOnZ
3dGaz7cQ/zkc+XUkTFlL8MjggK6653afXZzXRRgHYr1GDYJod5HZqc0BaTYTZH7WhvmUeXn0EcWD
yQ9uOtZ5HvIcyAO9PEyim2EloD0gVoU5sNN412bsBFhvF4sQYNGZzTmYgZSdIMcMV73vupfLdjT8
5EoRspNsBrpK1mh6O8yzXyk/p+3kU2XnzSxf4VPUpwz51H0gE5Ojqq9W01FBB04u72ajvs4ilv7V
Ka7jxY++Mkg/BR6FrOsYcxhDNNtiNKsZedrZLclh3sEmT4dfWGck5TzoiFVSf7pFLClCC4HZViUL
Ar6WH6kvjM/ZlDcPLezqK9tpyCrtSK7/BOF//DpKmKa5dLxti7rjoPclxJJeUAeNQxjm4qUsHSRk
+ztA/8l1V420Q3mdQqPxGxqnjkw8MiU6hJ67gdhgezupNpD7pSW8cIsgRby6Wd+Xu8ZtYF/3TM92
S1CiVgEnCaM+wxy/kobb49XxE28iYoou+6HOU/TvA/w90lyT/JUtHJcreTPsbLwzhJ0/LsJ9yufI
OWQZqcg7abfeGpZdQp2bTi7tIjZed1EOxoctVvV5qaJ+3w8GCYa94HpF5D1XPCxZ+VkisuJvpuM3
yyzzHQ1eW79EW3XjNwBYO5YznqJuWcOYcn3csO8iS6Tw+4gbxLPyN1zq8NlMd4uwXdrhlAX1OfMj
w9vw1Bk2DXogZeFAHB/t+KpRj5PWj1ZaSWprTel8kZdqpQTsEq06HTpar8HEyxpa/E3iVMmWbohl
XesBibMN5q6DZUpNT6Gp7HiHdnzcRlrpiq6t+eIHDfLXltbh2bO7SW8wHavdMb0MqN20bLbVClr/
IqYNtK62v0hsKR8RJ86wP2BLZtl43cDYqTfAWBDnthehLtuT9oN1ke+OFykvqgK0cheBL/MExL6B
1v2C7OBNQBu5bI55w/nczlOURLxabfZfVSH9p1nriKuLpNjW6mK/zVlok0DWB79yi+yGHghQZZZ2
dUtIwvzaWkHzaMrJ+9xEfnao3JiQqRw711eCv7Usw2vKQ9O1aJRoNAvSR82VVwbBzsMhVbV5byHB
Ume/TgPkm179PSiFnYYA3cQJznshwrIaiZWRAyzOeQBe2F+5ZEhU7v+J538UZ78p67AGmija/7Ms
AINKn/y/8K2tENG//Vzc/fmrfxZ3nkMmAnN92FQOvSVYY/9b3tl/SItSEKCBTRVp/5ykQFwCiYl0
S3whLX6N3/q3YED+wX8KiMzSwndAZfK/Ke888bfWDHUkpR22PqB+ArLCX4soL5+ZIhVddqR/iOvV
DPRclR0lzhZrbAOyycdaVBss/AkMF2uJ7VNplQGsqrWDBGJNLm4puc4q31VOFTdHo6jMiU0Q2CYB
XZUwbWJd/OtF5wDQ+jJvK4e87d4e8MssFkCqosbrR84Y/pspK3D8XUIt1UrcJZys6hOrbP2pFive
lBGqKw95afrXZmLZb8yEAUYGyijDqsRPtRkqy68PFilI7a7LNRvyh+0pz9Ll3mr64HXAcQ5uq9ZY
+r4jPvSC4VepOT+2iLhPOqAXlRyqc8xIKF0rVAht5Z/xEZLJ7kMxQsOKiefCNmOOiEO1Juvhfilm
DXgfdH5oHdgtQxIrxq1pSvMZ6QhULB2QWlXGcJRjIl/WCeJ6KXX6txSY9lxFdPYPPBvNIkIDLqwk
gFG1pvhnHVpWpE3fsjblDPzg/3Qkj8tIg7Fm2fKfwRisrkhhcN6WmN/bDDEfwDHJh91MOmBeSHhg
WZTQDB1gtLPlDma+ta1dpn4uMQBmgu8eFA7QooFRBCTkVAFB8pJbiYT1mgY1ovgpnW+yKB1PbKHz
E4w0fucHO8K9MD/UDMJzy33NGf5xQVm38AjGOijZGvQVHheYalzSrvtImjlEpokeGmYCLG1qywQs
Tx8MZfEVqiXjr9Cr56ffFTjVcHJxyid4LyOCYW0om6BPOaFnQEE7NJjkxmOdq0R8aN0OV1ShVqOi
Zb1+TyJNfRJjGbwuxfTYr52zXxj322RYpNHranXZA7ITNIWXMNnaVKAdSTX6pGUk3LWKGz2fKTj2
iEz4S2ukSeQekeOEQM9A63tBPnFyIat5/cjdwACFKxvIHozcBaeGZQZvH7QdTWOJO24+w0KWH406
2wdbXf+NhiNuREYuwJuQHkxbL5i5wBWgIuxylyiAPCN/91xmOms1Dyhdif3TXmai+RjR1uA7j14W
yZORjRghl0nyuVOkfetG6XRrSYQtHKNJccdEKCe/zQQ+xbuSMSNCVX2fLJgnPw36EvmyJwvWYbrp
mx1/7BI4DQkm2NFzB0Q3UgPUtll/ohERvV5u4dSAJLbkhBhU+mHP9E0aueP8OMmBU3KxKV+M3mq1
sPQmGN72Gi+DxiLgRGoDmcRz4XPDXKKci9LVd4B+JIaCdFsykzh5C2MwSAksHCli7R/G6Map8Zi5
AwEhNsLIV8S9vCNrENvVJmtiFRYA95jL4kfZrVR+hyJxppHtKKnqnkjt0w8oXSM0pZAoOm4wQwIw
JNiV8xO1EABHi6jhBTMnQFqa3YCLiPydqiK4XhtN/+zThVsC7CtUWdTYrR8OHtu8eyQ5WBaNtltY
T8HIbQVe7yMmQoGGKAPRC/JxK6eEGmaucr6vnFvaNWtH8q1OnOMJs1qlUWKSFUtZ1ZQ8Lt1c31xy
K9KlIcJ+4VnOdfqwX+awzCiU+Ts2Y8RTnoPNyHqGfkJEJmHT9cAZBGX7WJOanBIvlzefctDsx8Ds
4gN7UOvZ0/gwN9e5HxSR7frU4Q63j/PAEimJ9Lqe85w7yggsLhT7QPM5Eivc3rjy0FdIoMwJ8YxZ
eiCqKj0MNlrGcJywrxc6pL1L4ZfsTIATEhyvzQ2O55nL2nYwDgWcHUBppWk+A2qCGucgptiivGQL
qSiAmB92cIEvlKGJOTTccJd84VSz5JQy+TwZYWzRbgz0neOZRbXgTmn581Ycdd8IkYCckjjc3Toc
hSyl4LVl+pVd2TXJ6AOM2WZ/uedtC5028gS+c0gRxM/Bc9HSpCP+cNhlfE+hXyPjZDb9w4jwbmYQ
3bG+tV1PZyWR+n4MFoyfdePD10PaHv25pAGQJMgZCxG3khPRCTxlJJgZmwZtCP1I0zDvbZenqyiw
noXDxOkFTL2/PHFq9O1Xuq8z6qXGaZP9ZWUFh4TXFwtD82qy2y5fpxjS2Adn0owAeht8UHMEUGEn
5MfQAyPhemjUg5kMFsi48hvSYPwGNTasjc/cmZczKjmm3UzzbqfVYSEr2D9oQ4Nfm5s5QdiV3FlL
shxZfqQirz0e2EKA/y0rE5LkGlypssPgYnnRTLHQpUHxsGbFvzKRFp4fMsVFHawgN5e9o7hEpdAs
5mFmreWZbLcJSwxlz0RLJ5RN636rSvVaxWZ7DqJ5wGWw+ADaQle2zxZJTVWgX0Sdjm+Chllf8Y7x
783SExHPLkFP+LZBWJpmf+sIiI3dUMTom4mGSr2GlCj89J+b3oI0UDXXnY6SansvFB5SqwlbH4Xt
dOyhdnfJUBNuHbQqugezWYVB0H8om2Ff10C/DdcL7umJIXj2HqMLGXxxC/rK0AYR951Ms1KsqiTH
SpvCfJWCCrgWNX5x11rL0CNQO964jZ2FdWVhxaDNmNAtqf3QsHOg/iVtlw1W/70Y5unsZEmeh4Y3
kdpulXWy7Bd3KbxjwG3ZhnE3EMJGOyO4Iv93vfPn3jt3WcBrLp2bY0o132/UZL7Y5ohyggHpXbrm
/tmzIu5eE+Kkm/jVLvazmnioega+knvDVTuP4saTMWVLZzjzW2FX2QsN9Bdq76a4JpjIfiAHj/qx
7yZSd9Y22PukgHwntTL4kvhoY7qJjsLKTbZrHITkfrsA/EdzcBQjbPxl7tVO+TUWSdvOcvoVXXbj
t0m23HC+3G8Yp8v9OkwR7/FUQGGdXoIAmUWOrvDgRdNn8rpCINjeF4beC1kGS0lrvrH2Mqe7ZvVO
+9AxDGP7U7o7Z1bz12ywng2k/egcuu7GT5P1Af2lg/NjUHuwg/YhCkaCnYLU3sVN99wEAwbn1mVn
tOtUU91gN2eJguEA7pY0kJh9w3lQrXm2sF8ghq26Ux4M9nVFFznkpJVgzRvnaSbGDMdG4++MABJi
xopFyrDK7+0m2wIZOxtrbt7xEljY8o3lHuKAeypauTzEWCFlKcujhRPt4Os3BN4s/HNxMBxRADOA
B6PzqYvQYWZ1G9ysmfMwpMraIrEUj5ghyG4gjeDFmi3jmtReDGWG7/F7IPfdL/1YBOxLLGs993PZ
MBDvq4+ZnlwjUVNgEjNl5c9WG/lHb5LGLT4sEfLm9RDt2PvBc5Y94E11moTnvRm5+jgbDS0y0ys0
6bXtyLvgtiFLZBL42PrhICLskI6fk0xTpPGW/hIvojjpT2PpfKvxze8sJK6hWYtCr1bmacla+YbX
rm62UdXNH+2KGFICEdkJpqLcLrnIdz397OeoYUVh5W/VLq1wMBmp5R1FN8uDSpjH0LZeuGiFOV0n
g+GZm1piGB5YSPyWc9c74hE0bmGi2ShaHFhesyJyTSNzHjZmhoHt6K3dGH9j8Y/3OBWaLYyeehsh
liK4I4nAXFaAIw+9mxgsTG3qHn1Uj69G3lk+r73IoksN4GLb1j0VSNLsPLetUKXzXKSyn15r1y9O
K6JhQsGWfL+u/bpDyMj/zLx071qFeJni2ecWB0JhG+fU0Rs/FlJwjV8hEsbXcaNuk7HvPhhJMFzh
6LtxcwJmeHlFT3ifxMdg6mgng9mK+jNG6SX90Ln1IE4qd4P+bNBasXA4SDKWZSCHZiKn1mDnFFO4
RXcRvXJ2s0z8GM2klf8pagoW9SjLpnph+V7Qa9IypX17oFFTrU5oFbYhNnFniCkOY0cM8pOfKN66
gEJRMfqpL2PatpGjrhrR8v+TYQo/QzgKYsJIb6Xd0T4MdskFf1ZOzFI2LgQEzLNNXSxnYa4zMUGT
+cxeFFYtg5N75JDsz36q+P9B1fC3ebtpOxT2FgW0xZz2/fxxIAwsrfs0O0ZVACtCVRUw1NVeh+6j
vTBv2tsqYDdSlQ6Mu81EcsRvCDJ/1yDg15emHZg2yfB8inf0milxzWq1+vjozKTvbqKyi4nYC8zI
0tmxScxmM6oPJJol8VVfR2u5qxmz3MZlbz77YjBviaplV/lfn5ZA+oCq2LaD8nkvQyjlEJEubMdH
wszZpM+8/XdzCsqWHRnwyz612PkMCmzK1hjj34UEvEed6ZPB4WG0+0QycHLeDazLxctRD66ckwVq
3TEzm4U+Xtf4KuOCJItjsIumK/yce5FxMvX2+wcbnTx7/Ey2i7sLVg08i+TY6wq6buIy+34BDk+l
RgP/+nT9w0V0UGw4gAzgZyJWeyfbGIM4NXDlFccyGjHsYXEdujBxc7ySrRPgdisJBYNT3DVvys6X
x6anV3Fhe6fV3D6qsvnNZN3UPZ+foUiMKNkD2cz2bU+avIb/2hMynMZYB/YNBC3Aedm4BsianpbU
a0eLp9v40INoKVjQ4BCjyFM9Ul+UE0iXg4loLA27rtY1GGf216dK/tMHg44JrM9H2nAh8P888fdG
gcKwbZJj7cbsUOOK2gux6TS13syuSHblU50Uvn1aKrat2AOqLj+PtjU+DljHO7K6puBViIVqGdU+
+2Kzp4y94ENjG9v0Po2JtSsiJIIbgHnmcxkInmxDRXRLcq+dhxvcMP23H0VpqgBbD6vuApRLDa8r
0nlyY7bO93of98aIi3tr7fw83zheTQX069NhabzFu+vkAXd1AcjQQgzeoxkT0yD+YvQMZiEOa6BV
MQE8+4MudcqZT8/CH1wvlj8aT6W10jyZVcLHWnDtPM2By9mKpebbOSs5NaRx8o+cLH6S/Qgr/dIe
kpbOspjajC7NMA2wpyrt4g5TrwZhH4+wC3/wrWH10Lxx8wUnIyow9e3yZf9PYPSbTjSrmc91/8+d
6FM1/aX//Ocv/Nl/Js+CpYW3k9b9/a+0KHBxpTGAIX6Jic+PtvSf0iJbanyLBmHCdtF9aV4qf/ae
bfGHpIChKY2CECfFfyctsuU7AY9AU+SwylgSOiUgl8vj/pOAZ1F9P5Ze6p9Fo+YrI+vq7ZRb+SOq
5fybYhE/TRfjtFc4mKjzi5/64qy+mKyBThv3GE+xXuO3He9t2Uev+Qpw46rRLu2EV3N8qi426qgc
pBE2F083eeU7XJ7e6+L008PQ1pJUsAUa/hkzcvFtHHGHj83gvyZzlTG5vNjH+4uVHOKYCnukwYn2
mY/acZ5dzOfuxYheak86K1fxrxKbeky78jYL5vFDTx7vI0577OwYcaLvvfa4x8Z4kxcDfAok6Nkn
8hmbNzuKxw8zj21oLV3y3UDeiocgdvDktbN3X9MRUNt5kd195sTzDTxAc2JbaC/fPWUYD1WZsS3z
RhXfjoYVnVxbm/VjbPB0YitpX1tJlmchdTZhlvhKk7e1jkscYlG3c8Yo+WSSCjaH0lf+ofOQhm+g
zBRPgLuTu8EZMNbjNDqmE3tzmlg+sld7PIhqrlHSKuU+KXJt0wOLEHl+y4IBF4WDBb0qyUsz3tK0
Dr4tyPJrcDatJ0Ic1ZBBIBCHVpQ35yHKtYzDdPVKxiSraObgql0hg2ikT7kRQe3f2ksVpPto9IbH
0VPNMV4SbE+G6L4kBiD7MEhVQdTW6qKxwXlwNj0fAz9pmQ/s0VDmGyT83pkerLCNH6/ZHQqOamAT
6o0fiwEdlTvYvQ/1pvIw75IVMG+iGIkbeqCoJ91wynZFV7Z3ZaIdyXOKU166lCD2NNNlpPnTn/tM
SWrLZI7v/b7+DrpzGY6iX5t0a8Db+z7FObnHkoiDicJ+7b+WrXSNY4SuA4fHnJ1GWTa7NVgy3qyl
ixkEZOK9O7V4srGB78mBa71NJtE7mxXbe+BZ5nS34jbJXhtBh3ckj8rHagHKBzLLAX9Q+kiAO7GA
FjLQ4htXl6yIMFFtyrmd7TIxumuxtjggqeNootzGXRNsoeBaG9Pux0+TM7knfzGtF1oBr03UUVIW
65PdsbFjR2Q6YW9iQjpGpVnvoQQrUEeZG47oGs+QI/J9p3LF401OqPaS0jyfNh4g/Q299mrX0f0I
2dNEe5oZFAyoXnYpCr1NG0uFx8K8Qo1j3lTC9GiO2o/CDo7FJJzrtbajcKFAQJVVLkdoQJz3YZ5r
hWICf07pt9yBdtkIUjSqxd12Hcm20DWCfZqtPYBZXRIyiT5J4hyuB7mm26lR+aFx4I1syP1ortyu
Gc5WNqjHxSxtdCuV6xxwgfSPRtA9rAkPZo6ya/Xli2kMpFH7+Te/rext5rrJpkqz7tkYrIK81NkL
QbPRy5kd84mZC6uWrxBzBB3cEvxzM4p0K9mQYsJLmMbjZhzye2mXr8ySEIysPNhYTY5ZHz9iUEx2
qjKzMGpKNCCpGJ3N3BX+EXkPWSm5q892NT0LKZOtAGZz8ip73VmFOx6AalqPVHeAFYoVfYPdOifA
wQRhsNfUSocOMhxKSkLVspnGgLN+kIVtfyRSIdsmOdLxuU6Sszf03jMI+uGqntxiZpEib40mF2vH
JnUi46tY0eXw5MfrnUCuBXMlzoDxsTbmce0fqxV632AE2fVkGkwZ4y6e95G1DmFfChVO5IyEcZo3
t5f4a69V2ntvvQnaqcy1Uvh6kVo3iMj6nepGkfMYlsnDVCT5LlrR/oVuXHC2LZnxoPrYRr+mdAU5
53IE7pLO/RwyuCmvU/A1d1nnT99G4Ri7scxB6/WW2Am/LvE+ecO+7Xz1sal8/z4h2GsJYy7/xwy3
jOUMxi11f3lnElkLZyQWz3CNCxpddv/JM2P7yUOK/dCwWUfM0Ih9UQMmGNfeP2XCxg1L6AniKN8q
WHSTdHhKbVmd/aSTb2xll6OUzXQ9I2O/oaXQHWfDMe+6zsnDGWkPT9W0PKG4IalDGWZ6249Bf02x
PV6jFIuOIqFvysA0R4/qs2QW8Z0ZMOdN6QTfG/ng+RvmAh4qLRlvZdZbFv60ZD0zmkj2ir3cbWoV
0UtSAofZqNrpPi9UbvlmNcb02kIveOysqEF1Zs5fVD/k4Srr9VmOkEvrKPOQhxYp7SKv6V4aSKHX
K0SEa0RuY7wpXJFxvzXJo+MO5pMVj9Z+rbJ6u0wNgCYXIdWHuqm7e7kCUUy6CvUKC1Nz5I0+vzGt
KJ5lgpB2Q8cJDzQ7+VBYiEIz7sozEMKHfli67C5updn3H0XjajTZ4k5mLj4uBttXdLlem35gch+V
fdiTYcCbKBd+drdWCc0Tali1G0y32S5ynNWuFvP6DS+YuyMyB4dES9jFRmdCIV1p8a3EhIgeJqGe
p3luDila2x03aXTiUhZbLLbFg6wXwmVL/JKxUW8bt/0TbPx/++Pf7Y8Dy6dM/M/74+tqSLv07a8i
DfPHb/1bge//wa4MvjFb3su2loL335xD+w9Bc0U4nu+aEokE/+rfGnz5h7CQxwcunQYvwPz1/zfK
Fn+QcgyqsAWTBxGr+d+INOQ7Db5pIsVik8xG3qHTw67qr/U4XcMJL7HZnhwkRozyMsN8FEmD+2xM
633VZH6/cTDqf+kML3qm39+eFlVGZ6NNAQyi1ISu65nXFR3+Q04ikVb/FWrjo6x+9gmv3XpJDccN
p18Qmkk235mlMfwray3zek7i4tVGObHDk5rS0FQRr2I7mbel5Y1bhioQYWPR4sZWxnpEMeY+DSSm
3f50yf6h1abdST9VupwB20bk73AaNJBSq2h+LvwzNow0GOv6hCh4vme/GhxQlwbgWHv9vfjcvz7e
O1XM5XgBwQO2TamDEfedtYB5pphxndXEx7SSIKTii34DQ6PnHPz6SO9qeH0kDxkQAE08FvBD3n2z
lSVs1SEmlDqo9C2Edjp5zTj4MkqfiAWzD0uSRY+/Pug/fD2EBB7ODm4mRtn63/9UeGXC6iaGc8UJ
HDAYB0OTCjtKNGc7zE67bP77ozl4UehS+LYL/fOvR4sDf0pLlRUnU0wOJjom2fvZpXS5G4rg+dfH
Mt8hQfX5RMzEQTwJFZS6968Hm/O4SBS43FOTzAXbvQTXxbZpVMWUicSyZEnmuwHjxfXEXP8IjrOv
d4SD/M5u9/czDJUUD5Yt8O54LCp//RgFdI9FDWh7mwExyhZJZreF7BA9By4wiN+c4L/fQyjBtG4Z
vRj1uvWu5dliaZB962an2lzXh8pvifI2eILhUOXJaelStm5eGeT+b477T1+SibdJvxD5k/senk6g
GIZgt85O0DpG5NNcTVQe07QpU5ABv76w746lfX3s7AMcT1xeYDvv1kA7NSZzTAIslYxEt8z1vHxT
i3a5ilG4vPz6WO/W28ux4N1zKn2PUONLi/nnx0P1qMlR2Z7WZZ3MbYWu81ykcjS3vz7Ou/7Hj+NI
lzYLiwy3q/XXm2Rwi651qzk9RcIZM3SnKL832JzZiY3SeUrSVMFGBqpMOKVW2OzQxCc3v/4M7+4d
/RmoH1nogPVqj+a7ewcZfQ4yqOczjF2MlWFs6KuuRnwTyUWdq9jHeODK5Tfr+d+79OgNWYKA34MQ
xkD57nKOsYsOl9zNUwLV8kObuepMN3q5rbMyObSyJpSsNypM1dMyg4OJiLUeTxMooG+0V5r2a00n
5JxHZXSMhaHOCLj4sWbGw6/Pzj99ToAibA0I76JL5b47PbkjowmSvnFEOul+WZbBbsORjHguUeFO
LjMOxPIbVGoepvlqym8IvsNwKssoOg15ZV+Ba4tOMyOtW21O9/YukVkZdLXAGw+//qx/v2sRi+pE
J1xxqPrff1QBT6cCJ5ieCKaGKZEDlctRmXf97tfH+fuT6AvWGG0w1TbT9+/G1MBnHBldSmOyWh+C
dGVEgE7SuSo623n69bHeL+fcnihLyUnQwUq4Gt8nQizQTDpc+iznVQvTxY9GrZ0awoJHhXoRGE89
T8uVOczeJ0OV8QHxef+bE2uKCzbrp/2H/hhSCg/ZB5sCPs67t0rR1obFkxEdvWFql5NXWCymfTDD
foiHmqRPEoO/OAwAwjRl7r9Z6iSL+ee8ha+shHPVxWN0DoaBjA76IoyXG6byYVOAVgotdAM3RdLR
gEwb63EtZPR9nIfiFevyekP/EW86Tn5XV5M5bQvfuRpbwYJLBWg9XuzbiM8Ae5m+eZ3ASRi2ok4N
pp/T+rDEkRw2cJpG4tVF/1ZEi/iyMtG46Yx6wbE/l9F35RsOxH5FhO2GTNTouEIx7TC1JcCvpMfc
meYDZM9N2aC6TWBpfiWuXL5MNCgbgDSjQiYHBvV7Mfb2tFX9LBFG+FlyE0uebNthaTHbMf0yJCze
VRc73/EA+lZYKraNCOeFHxMzGsQDmAzXPky2YDNUenP3zfcGa1dmjffJbwh4eKTtoSVXgYpz5sIB
hwd5C33AIokA98vgfVrtyEFKGsQ3nv7dDkvCTbw4EnZkOnW0ntLCeA4qudzwnilemXdPd5fTG7lT
v7NISXqoJfSrc7V6RXKKzNgFAAPE9iaHezjsmjXJ8AReVitouldtv7JC+TrctqyY2oWVmE0RFoW5
Hoe05twtjp92YStE8mzPqf1haEVhoEYT5b3GXuo+A38HAEhyA1wzBn/hpV9aEUwQz9p2iQ8BybPr
Bsqc85TFUr74JWPwjWFxbpW00i9FrKAj0Xd6wxDE7IqHpmgBD6v1wZmwJIV9TnwC4pr5jgDckQRN
20w/F27P0rSamqAsIPFKfR8qDSX3B/pQiCz9PgV5BHZpSwLnui/HgnvJU0De4mlBehtRei2bvhvR
yzgGFl8Nqd0OCeCsMOML4NfLphW6DzfYTnRJ/ZZoShTUW+5eJ7dhykV02YllpWJwncp4BrXACROx
vdzEBqwHGDC7YMVSNQPruGMu1+xh9prHeFqrXXNhKhhV+0C0W3oSGruAzdUOaQKnW1dDGUxZrucB
peiR8Uj0HPfertIQh0bjHBYNdgAO6d2p1TugZ6zDpoRFJzQIwtdICFhiNLiBRNAwkVuhwREWNV9o
aphEoLES8EUhTHBWrdcA6kSq8ROZCfdMAylosVdnpiA0woyh3uQaXNFohEWhYRZotwoYpwAuLI26
6GFetLiDb0j7vmuR42/GUc7bUSMyeOHIvdOkL24EPmTRII0CooYYciesNWQjD5QIcw3eSFbhbgMN
40iD5LGDzgGm863WuI7MUHK7uPQxrRWYhyH8jw16AIgesi7CZfZ5qw219VnBAUFpasK3T8mQBRGS
2+7zOEZXVenFH/sabGdiLwBFCsUCbOs9krKWWzeVEilU1zyYadGdDY0lWVf3OvcaMoQ2hAF7mlzC
IgLHhF51fVzMCqQyg+8InrWGnphgCM1NBFnqenAKPlBVENy1GRdrfXFW9NwzAeMDpgQLURvquDs2
SnaynYgu3ubw315a0KsviFqmp+UCZam6GmUEwTbLTe6tUoNRvb2d9/63TEHRnAt3PiVNoDgou+ib
NhaPvjNNj2jqlp1ch2Gn3z/0Vy/EmLRu1H3XY9/yeNKKE+ZytgJWDiS6hTgT56BnyryEQuMKDyCN
XU60VCPeCF4ceMc6o/QZuP+2im3eHnCafQAThPmurS1114n+1SMxfGtiib61L1CcuKj8bNtfYDm4
z+nsaoJOqVk6SAA70reH+EOfxdOVBLnTa/ZONg2i31j+FHxG+92hvrmAekbWyVMZtMmZtiIgH0sz
fdZRcWNm7B0oEQrjoVhab6eW9mOpeUBC0f4f7NL/3gPfYjpSmtazpRzvw3zBCQlNFloG0INEHrAf
K5EV1usKcoswZ6D2eIplVZEW0zfekQo6OAazCb6oNof2XzX0sV09Zcu56eWNp3lHwQV9hMTjGhFA
yRYGLtLgFRCSLrCkSEaS4l8jlMwEmpKRGnQf+iI4c1GDp9lhwMZLmDFPaYz21/lCZeoNugak92z9
qrG2kEOwcmqME/JW50B+ebF36eyBuU3tl3zpqvu47+RGRWZ2ijK4UJzBdCuB4Ta4Hw6jAz3KCMob
BCgijFRg3cdN4RzxYcrrQHOn2np1niKnMbfKn6pDIcBTFYgA3gYN7mWhacKxw44dkiQK0yrXeKsE
hBuUkgkTb9xFyGLFLG8HARIL2wvb/kBWLkp2zcxaLvysNBuLQ5GX3icnd2niaNAW7WG/2kaRXYDp
CZZ/9ZTj1wwrh4f+AuqSF2gX5AHe6bgMWu0hc26p2OtDruDlk6tenQtNAOvHvr6ZMlUwcXT6O7+b
56NsuiQIU/hhSoPEJo0UAwnhX5FUFt1kQ+kf7HhUX3KIlO4ur4Pmg83gcu9qSFlw4ZXVGl1GsAC9
pKxoX72u/qz407u2qTB6Bs5qYfeM1vFNYB6dWASAosW15qPhXOrDJimdrZ2twxXC8TQUFdwEZ0h3
uSJ73AjqbQqJhWFhILtdifb5BqN19cUzy/GMZA9fasA7EKscEVca34ZFur83xdh9yVpy0LOm4K3B
IkB2fI8Mwmty56UXQ+l1Xxml+/ZGkD+WfE+MpUHD1BUone2+pEzqje+I/8ub2amt23RyhhcSBcYv
dpv6n+IhgD9dQsKEHS3A7fDaY9TsoZ8oVXk0XHs544wn7UO544elp40vYIoyKRwL0GeN9phPuRmy
iwJNYS0eudsNXQ2riZjGYjniU/Xz0S4zcUOSWMG8bOKdgel4we8wDC5pHXmVaKliMx9NCH1ns1X1
sCXGqEp4ba3xE8I+awlnx2LAG8y8Rky6Q9yX+CeREK+oFotAwCqquG68FA5S1P25XtPha01tpH2s
xbY0FGeh9dPPEcHu4IXY4twkXm3BjoJTcHSFRK3rWPLNsGrjuwWk4zryl/jZKdcsNCv+7GzPwYtJ
3Ch54U77OartlO2kCEJYCS9sjGHERa5gotQ8uvI1xl2PcpTlFfImN5V6JWQav5lvPHrjjJTWK1fU
2wC4/oe9M1mO3Oiy9Ku01bohgwNwB1BmtWgg5gjOZHLYwJjJTMzzjKfvD9Q/SKlqydTrWmghkxgD
AnD3e+8538Ea7jUFYwVmbrk3cTjZ2HYUeYJ8bWy8McWLucq4p/hrmhlRgZwaSWYfdSVbZXhgdGzs
ejV+B73v7qnlLb9GgrhLUVD4aa5Q+ObSF2C6PEwDOwcIOzpWQ9vYAbeznkwCymS+7xfBsJ0Xjsre
2RtzTWB5Pmd7q4unh1oZkQ/iM7xKiuGHVqGsrpe8QNQ4GCcQUvq2pZsFlnPOkHbTHjCmgcFz1fT7
Kur0r2nH7I0an12Hg9DJ6ktr27oxNoaxY7TbTcklFdM+VYieTQ5cPkW12nTjdDMqXZBLMKmDRFbl
61gLKE0qcrxR8hP6GdxOosVNnyGvdrr2e9do5bYivnAvFOL8vHbfmlnLd81cKRSG9A4WLKrJ2N6h
t3iPlbUDdDRzTnGvi7w95Vr9OubLTZ8GJ6YuT1UTXLHk0jBiVnRWzfIDo84XYMn3tlHsK07TpJpk
764ej6Ra0KS0O/crROfWX5qw37iaIJkvi4k9KY2vkys4WGkhi3xkHDPVdGAv9V2CXn/Crc3YUH3L
Bxc6f05X25MaFUE49jA5zeXbBFBSIQPf1XZGztvszuGzXrVwKZrGAT3ZVHhU5pkBcGzuBbnsdfwy
DRMo/S7CvvOkO0P/WDtEFUZt/IA6PkIY7aZ+Uw/9i2Y0znYaQeIM1DCXvkcTDv9hfcxn/STN2H7B
q1Zg/a2Vs2mjsTnGtaI9OiZrOWG70bQvmZNu4X6nFhM3tVwIhtCaXZRP99hP3Q8G93D/tSqjoeOl
LkbFvTHAjzzDKWhbcPvRMN1mRrO+nlGnyTv6EkLdQScH3TFk4umiuE0x6tPVtJKOFPmMpK42RNWQ
ch462GZva9cdU99408LKRC2OgMxT7UjJmbor6NMIXp0wDVBKKh5A3pURA9YWChHDoZDaGE5JWRRy
2/ebkuWFPtM600B/Ebz2KNu3AQzBHTx8eYa/Nl3X7HFfnDqYrzRLUiUDmdt2c63060ST8bDt3Jmy
o7dZlsY2Mf1CrNWJiKfhe7IY402iZjDrAqI0oX3pKUrH4DXMNZrcoWWLe9HKjiFkQyWCV17/Wpaj
kmBph7Xkdbty9iNZtYQ+DRwdMk3p+0qYzZGzPS+tqULbRiUFOkZ6YEjIOqmv8PK/qQyNfdxw/POs
qLqVzUJo4FAciwpj+sKWfzTSlo20NYMTsj2aAi1FvtPb9AjWSc3n+w2VpW1nGB/HQJnMbFLo+CTY
5i+f/4vr5Ma9rlL1UGJE2dtSLgfDTKv3Nie4yp8agy6BY44348KxR6PYZNazFOrBTbmYAPQlvtyu
Jk6ORnGVTYxRJgLN+5R/zYD96l4cR+5ec/mIeTSmJ7xZEKxz2T6XcccXiBNekXVkuWtpvNySlCde
coL7ONqnOp8ZiuuxkcV0m06cdxcN6PhCRukVrOW580lVb44WuVuPlaTsq4eoKn05J/Weoxq1fd9n
drMhhnFMvXihK0LzksVg9QsHOkk/pTXI+pgGep5z/+uLdnHLsHqn+Rfv9TSho+gsZ7dpWuQrmdvR
kqkZbHtFuJS7jlgVC4tKp19jjJXnMlmYkC2S5lWwpKfP+06L4YsTNqxx/CddiAyq5S4C9UeZNK1y
2J444B8aNn+aIpRZd1m/XpOsZ8om+Fd+q+m6tAcuG01KH3fkcmUUotiXaysOzzRYdvJ1btD/OJsS
RPBOWdwBnbVayVzSCu+yLFEPwCY1QrRQ1lYZJJbOhjQ94WZ6yXX+BFZEc7SL9b+WHVdLqIkbVpj2
fDXwQltQPK7c1KOmv0RCWsmGaEh3j6lA3Ecax2th02clYICCX6AU+7EgdT8PCXeTufCia9DiO63E
ghACHEdPHek4F1eMwWnAkf0egEImIyji0dEiHmGk98wmxy44BZUo31PUr0e3njSCMtsh0xmSZ4G4
pzjgGxYYnXpEVWHKCRjKxN4tYuNC3dI8d+56eXOo6qeeDFCQvaVxP6ZdwkmLD260afSBbLx6J5eE
t0YmPZyybg6OHS1XUqMcrX2Hmk4+Ax25rubv3CZOzyy+X3vZDn4Ed9SruupboTsuSrEAldsACU/v
+HW6LuBhn3gCgx6wdpsX7r5rhm4blgrfES3wqyofgtdmhDrmL2oRZ/KwxU1hqgDspskn76h85KZg
OYR5KWl+MBaFub/eBWNFa05WkpYCId2DnzodNeEIivek7EX/Cga0QtziaEQfRRXPdNnIYFNSncJq
Yn10La5USKTH40rL/WEHFV/Y7dZ7sNFn7jxZBSdwQKjTHXNeDprdOxvbseGzOioavjuKOhmouphe
2jKe3ibipIlE4kDe0Eqtwm3EsYKdkRyUi2iHAvNx1z/G+uh8VJD4f6A0h/MmMcx44cjOZMWAqWdp
z8gTUXIdB7cOXhMlwUm2DRIrzEs0uDcYdsv51/bz/wgd/kLoYDIkouX//xY6PMftt5IU2uK3NIp/
/NU/hQ7qF7S7hmRWKB3bYZ7xb6GD8QvEid+KIP4ldLDsX3TsJdYKpLAMm87mv4QOlkFCpLn2xamB
eGr4hH8DNrgORf/dZbeIUkPhYCLVwXQLGePnWbgh9CjtZaTOn5GsTc6oX3JMR2A+I57vmlaihP7X
BfpLWcGvb7hOvRgUSx2Bx09TKGIejIo4N3k2peFsPu2xi8uOho5vlZZCZPjz9/v96OQf78cIXHcx
XjnMvX4/8IOXt8BSsq2zXUbqnSh7cW0miXhs5fBX3qB1IvHTteSn5reWDE6ZYv701RoixcM+FdaZ
piOafztpDrJbMPQqIxTX61L1xU4Tcd0Ecrr/29+SO0lyN2CRINvkp9k3eeTDrGuNdW5JKD6Sx8fO
rcmCIIEh/Mv0eCH++EW5AxH0MMh0Vl3676/pVGZtbtNVP48lGCXPrhiNwJ3Q8aEMnQ3ToDDxr57y
acLYMDfRgDtLlJxHp4zmlb5CE/7u11cckpm/OcIG/PLzrCgRgCayEBW6M1p8XTfHna+T/LH//3wv
ATVwxd0KbpyfbqgQelcWAaI9mxzEr3tLaz9s8FT3fWL8lbFqvY6/v6GoBbEDSGkD1v11RPaboXjc
0T5UZW+dEYr/aA18Mr3B7ObvXzsWISo83oxV6qcfU+fYhf43s+BkQ5BIHM6GnqMqzRfLikX48zf7
abi4Po70HXBAkMLO7ET8LExh8iyGRRPmOUHYSGY2Bw56SxpEAfKKYV7QAnrHD8ZDGrs4CiNgGIzx
zONffIw/3sFIG1j29PVRtVBx/P4ODgwBHJMG73lyOoMkjELAAQjA31R0wHyd5nS+TVOjUTQ8ACJs
Ph9eahPgCm7bHP780/xxieIzYNVAe80vbes/3VFp5ipYPhUPLy7qe13XR3g7PaSOqnF/3cm/Tf8Z
fgeQj0WoLP4Xc8DbkkDF9r/+4797q1UAACqBrcX4OatoqlBKN3ZtnmP6TvdEJfDIatnEUu8ofok/
/16/31tYvpFyuYhxkMfwdn+4femTlFldV9qJ+SecAU1rqleiYskyWkE8QzGzOvz5O4rfL8HrW+LK
tHW2YO4z6w+iNQxfqwUH94AeNHAX6JgymWugvoCIme7jNuB3NSVuschJjMdP61k+deXZJslo3Dix
qg9Lzfb3uYKgo69INF4MjF5BpOFui0X5VxdJfm6x/37KJUIlm9WUG9FFHK7YGn9/L1LVJNa0zn/a
TCeqc425LGMCL0PRpj0BQzlyDEabScPEA8XurLaCF7trGg0ODZxEPmOQ44v1Axl2H4uZdx8TiBAF
ZHPhuTKYTiJJbxKUsxRgOMsEkY3vdQTWhPQheEnwIT8aHbALPEPMs+3KZBpXTFQ32OXZCS3zhFpk
1LwZePotoUlas1WwY76Qda8lPrPpWhyo7XnpFgoUw2gXLyXslzgwAUTGptpnRc170H5H3h/Nt9jv
dd2zBnj9HvNacd2i0FgY/cG1WSGcy14LFledYMuBjehC0BRzI3DagbXtPlKiWF/titPzKRfxfM8M
frrVjI40FVKywvhNzEgkPEZPChvg6EAtAHzKvdel6p1AWu72z0T6GXH2RyuqdYceBvmez6nxrYIx
RM/Iru8bBRxejgwP7DiEL8H6i+ifMBt2GDELZiFmzUM6Oc6FuFfNN2mn3n9yjZhMxvvAhMP1SSXR
SkM8dp+mRXcM7PuWHtcXY5Dtx6/UqlxhkRRT036keYgmXJmwVqjCBeUa/IYvfbW6J4Hem0c3KLjK
YGHF49Jx3axeJ07wc5cr2Kl3VQtM1ZvzqEkOoTXBfZhJ0hw3FiP+2cuLebFP0XowAb0wMUbBrKgn
BhQbzBrTNtM1MFKyyMR1HdfcNampQ9FSK3ZmTpKKJj39l8If9MBWp2pdL7UBtfm+tRDo7OEa8GGg
Rab5tunYF1UZ8fyVeoizMcejfx1pOd5OmrO4yoMSdcHGnmnZeF0aAAAShcm9PCSa+6UFjdPunY6S
ipoWcJVw1moP9i5Alox92esKWtv+yjDFk5UtIf3gXL4PZS3fVdQzIcQz5K6tItFguVyMw7KMAIGM
UFlvxTDAS13i+SqrSZis24kBaKJlwtmJmCzXOCPONCQJhVfJJnq3xVIi8KDL9oiDIyYxRkH88WxM
UtfodfRzbkU4L/LUpcskW5POPvkLc7HMj6mryy2M1Ko6pUT9cDJSaQSHoy3uuqp1CrJW+vx7iYL+
h2Mt5VESfnbtKgnnbZ4IafP7lJXJXzIWrhErLhdBm6sXhd+/3UHjVozcbLFpQUxcylZvwh2CJTqv
bl/FG5GUBRzgvrx2kwGUA8bY6C00NQI4SsZNzOLVvi7m4MwEyq73Tjuq1woBHIyuanlT4VjSCCLK
BeOatbwVWY1zQhqLT0YPP6MTSKrqdCzekiqxu00x0OenGcVYn8Mo2IYJgM+maXJtW3MGxF1j5DuM
UAQTRWRtF6Ue3PcpA6cirQGgNlFLedvP3wM8xlvoY9rd7Jb5S5wODOPngj5CETNlYDbhgWB+tzuL
5wMpFMyMHH7m0IhdzrQraRzt2poineXfDIB9pA1Y1Y2yM7PsIK6SiiS9Bs1sWK6/fDVeOOk6dPPE
TCchHkbPCgLeCII/E6s+jI5OWbWwc1rCOwGTbI287J+qVNWVPxTtrpcpQTCR/i2zSTgFpQFV1RXT
rtUCc9NnfA4YD/kduxK4kYXl/aKsGplDqPOLklGQXOg2F7cwj6rbrO24qRlR2d37HMDy0oyER4LA
eghPZUV2+flX4Jth4kfxWW27j7ABm+vD/hEgthduWR2505fG7rGKOWiL9W0aR2tUSlnrgwd5GlOy
IbXyNRCIQT65a/acNYeupYXtO70MYuK7LWBiTba+mpiqFqEGYleP1ZiDWVWy2k7UUTS5OcKpYRGP
dE959PtI1gdrspIJBl5avVa0TPho9oCDPc2K7BXQT8h5LoIXL0xSWHnmEa7kb0B1nOrHTN/Daweb
+E40wkwUE2v8zkS3ZryTavLZVQG4pMhtD/ClmKsUU0hOSyaS6Gs7dO9JJc2ttOIw9IOZ5eMlW7Re
e0BigonLIRnmemgSssOyON1G40hcj6aW3ewU1dPihjnOS9san0iTze+JnPthZMvLZFjiJu2M7sC6
aoPwdcHFW31lfDD0CT+WOB4fwt7ml+OJT7b1gFzJs0JEYETPxUzv66y1T0rCZEdqmuG6axXruJ/2
8MMPiNn0s1WX81XdgglXyxRrXpOnPdmK/AqJz2HH/aIVA+yaiZn71dQ01s0SL9lNLaz+Po8d+F2l
aL9Zg5ZtS8ZlX0tXDedOVcDGZWDEymsdE2Yd3A5v7FEDMD/KWC4IWQHZ5VineRy+BpU2PoxdmJLq
2+tXTRzKt3RUaeg3GQNoKyFP0KvxLF27hK9dNZM0mcePLpO1IWzfjXisziTaugQQY06DIqAFntW1
xJALlrydxmEWSo4wjAD3ZWBPuygrzEdoC9VhKMzloYqj4KLPPR3ECO6lS6DLa591db/V29aKTxPW
YgkES2esSP/SSa/VpI/V3o369kCVq10SeymfmNQYro9qiDGeodl6eui5ea5HdvgfaGzbq76qhv3E
RngukjbPNhWsy9Yj2dA8Rixu+DQCAVqSk4Xmh4M93IXGMJo4KwNmyHRVCTSeOrKq5kxepthgGTX1
2WVKDngTdGfe9IGfMUy56ux5kd4MuNrZOpltsSCK8XvJCDbAS8rEhURD62hZNfGdmVoOSOji+zYX
9RPitvaLk83WdpgW/F3JhFzBVpZn6RFs6GlJ7I1ZjTYYhWCJPhCLsA91azsS+g2zaItLdTss1ClF
hlXZl2UQ3xi6PT3RGNWuZNzhXo1XI6vz6WktVntr3dpyZEYVuy3SD7CNQRZNzxUkwm+jDOwPZiwq
3umVApLRZgIRVFIyLwBWj7cWNg422+bTcouw/4dcXbhtshpyl9Wba37adMuyqDfRtJp3Lbsh3HR1
9GoZ3l7j0+brro7f8NP8q38ageWnKThd/cGahVM4+jQN26t/WP+0Egerq7j4NBgXq9c4Aujhs2ej
ojwAQF+T4acInYT1awX7P73Qv+iF4plZoSX/avX9IXXl+PEelb/tg/7jL/7RB8Ulgq0LwgkGEazb
yqIk/4fhi27KLwBxGYoYGLtWZMI/uQjuL1S7uLkMhRbZotP07y4oCS4uVBIdZxIuWUq+v9MFpUz8
XatFYjbTgS9RNq5wH5quPxVhqQjqnmBrdS1JtT0SWjfV58Imi36rORwMbDzfRp6axWnCnJY90NWT
jMUN+3sEXunBsoGko6lgVVNiek5tLT7j5Z86dlIH0Samcky6wGTdcgOScO7utcwIibQO2YeeyIEi
wbPg+TXzM4Pddj8MWZJc2yRK1t5YZ84OynlxzKkAEMFBkszJw90AfLQ2xBnIXRSzuG5BaN0hAuoa
L9HH4JKZVXVpe6Pbz2qoT2xd4wfC0zeLw/eH5bb6azbCike2XL2x6ei+JXN1VGb7blIr8n2daGb6
bzTRecHBc9Cr0trxQ2nXBVkvE4qOYRfRkGvQ4bn4SRvfZmCYDzuEsKu+Mh6TGy2KjOcBjInVm9WG
OTG5eXGk389tUd53fV1shk5/zmTsPk2kut9MBYywynCfp8lR22FNCjWH/M5KNM4VfWNcN3neHHvO
dcg84vgCWXw8ShXFV6h93t0OGznXutrKSqVnfOXuPiu14WsLd+g4B3KF+YnsO0rVZrskjvhu4kip
fadtyoNrxN/7Hg66C2z3RQoHJXAIzcKrETP6KEidN9j5HIDthHgTp3zO4/y51njroq6AF0Xj8Ep4
o9yaZlFuLcB4Pv5AtiJ7ZJxNdtoghUdTK3+wl8kiYESPquN6Rz7VQ6t2jghisPN9lh5so6/B20Ks
5dMPNkIfRKl7fTDVvI6ORzzvBH7eW6lIb+e5XW4CgPF+tFj1JYIA3HqxPknexSy3q09qb6H8ovbT
zPhhVG12kXk1X6JZmVc4p5OdwiR8OzZ1s8O4MH3rHCsrPLCTHaWHBgadUx5xcKMl9rmdjJdmCeLD
JIv20gXOAkpPjeFHZGSan1WVPETgfUJv7iv7LNhf0VJ1tn49FqDWVeOSEdoUhl74NVgNL3Ta/os5
IWb0anM2dqmZ1qiiUHFSpkXDbogMsluQORHbAUjhPOREt3odhm5KUMwJO3ecLnHNh7Jr8mzbZW6f
wsYmRGJIjehH2aNXJm3VPdhxqi6N1D7UInXPjKIkoZwOlWc2GvmzIEpy36zMamcnuvtMik/qDY19
roIivs0dh5ATkGlfByWynREL9Q1m/YLALSfPEG8JBNCGs0AjuvHFLS3zVksDe4MQKtj1XYk2qUix
S5SjZnW+4wS4zVU6Vps80KLt3BvLLSyAcrvUSBWVmooNSn7j2NKJuc9oX+6dbOy/SCj/d/DyoRIm
9Bo8G4IVslRzhvCPNsF3XL6SwnWue0bmkrdkjzUGpmGGSDEk+6kL5m1M8PXTMNWTN4y12EWMZzaR
i3Om6azgKnKK5lZhv0Zg2DzGqabuAc8dGg5oN4hbOR9M9kn2PNZekhmEzgb5eHBGVd7CJdS2AiEl
EQ2VMz+Qq1xdQQhAtmrUyVusC1Q3Kg3gWzcjUAtOe8cCy9kDchzDh9NI56TSr3K0JnpRjnehVTeX
mZrSZ/HUr9uen7uUpF4XOYk6A83ZTWiO+nGpxYcYpbqurLo4GgJ5dd72oP1EC5GhqAzEAkG4b4wA
rGJc4c2oZvLRDbN7WNxo/p7rVeUvmj0fZqCCd/Zc5+QACbISTBNxmIhluqeKQuQYsJDrxtKdY0Tz
T0WmW7u6KkJfOYO60qdC80qkLEc3jMZNkLrOq1nq0WHmFOJrU0Zmi9XNGlkWUr2yCS4HTHfad+SB
GoV1BC9aWf2PJCDRBtFNeU8ur0DhnX9WbO/hkofbWmQk5BCusXeGFgFuFdTRq7GE3aXJs3sCn/pT
5KoC0kZTncmt6m6XQpa7cXKWW12QaNBGTVp7Hck9WytUzT63SuQ95oT0KXUGsM+R9T2cCzS59vSN
onUt7Fdyc5CSD9EoqV0izarBLMvxuZrQHlloLO4VeudNh1D2Fe0azwZcFjCSDq7TOJ2uALZoLFgh
3WwZW2+INArPsev4WgRFsV/0UryPBM6Qork8BT1LujHOxkEOCpoIJYR8iGMxbUCWO9irsvtFF0dO
D4QJwxhA7qrTrETaIN2NHQ93I42/Z22SpPX0OU1b0BS3CWLowtNAIXzRQ0VGi1nbJ5JsKgxCaUCY
K/Rnv+30S2tr5v2y9LcQBDpqNj0791wwX3LvPSazgc8NPyCPBMdqVxQXRajg0UX3mJJF5E8jsHrP
NIPQt4rQAfKqerChXbYlLIIQTCe4ENOVEknR9tgOE8crFh3uSZVbRx6oaNfn4JHDDv+mMWUEXjlB
fgkh4LMVBeN7FOvVXht0dV6G1v4GzzP7yqgEDEYLVNXM5cPiWE/6bLXXKZ3YC2wG+0j7bdmjcMI6
I+3hqc2j/iRV/p4sSXeMEjvc1Wlc7geUvoceR67yJi1sTzCiqW/pdt63IYG8C3zljcPOBVw3uRNh
ZbxSzI0Xl10ZxZYIhmcRx9ohWwZ5yauYjOlY7kozWVuS+k2qrC+TRua67uRkbRYm0PpwyB7hJlb7
vnPIZ3XILJraytzpdfDdQXyOnDKK6EShGRwhORxaqHKXyLLGc0V/+QWiHN2fdig3pO7CAFJy+YEp
4DHKobJAQ7Mf0oCP0Im08/l8yOcT82pgVd0Syf4WtJbmQeyMbuCqXrJRm68I9SYnQVhPNLeKU50g
ULS0ZtjH9Bl28ZQGb00/T3s8RM3bpBWgndweEPZgDEd7TPpdRsDQKFhXCAcSuxBkTGqRNwNk6l3r
5bxpZqwUtpMsJxeMio1V+jx1zKKZxhOFnWM5yMrQjxy99CPdzp5WmdsDh6r0XNQOW70Uge2hR4aT
scLd964dVtdE+uxytUahTHpzNYKs2RQ0IPYgIBkgkHV5QWvEsgNF5xBCBJes+IkiXp6ko8hCZThB
rNvQ0ZXExIxvFMgJXZpGkl81iuWG+jIhPRaUbrk0xU7CfH7vHWSF6FQXDilpqyT9nLBGLjvXFqHD
y/StSKPqDZCjr3PMfc9Dmmd8kB+ga+tdgrKnpB+qIT1sdYdYs1TDm9CkykfzTcqcsNLiCtpx6pvY
XrbjkKOM1azwI+gaY2PBQ2FLQ12K0lynWZ0mN5x7kYTr2W40aOLoQcUOOgbitA4AfDbhaoMmTT8E
pqb/QJYhvW7OSFjoxnJTqi4k2BkxEEcPMiuy9E7SmwOtrM8TiXutjiLQSI46P/Ub3ZVVkIwjwC56
WnEoFNJT01IJhzCcNvWY9YTCU5G+1BFKuZ1AVYiETr+z8fUSejGHybUYO/FtquzsZpmAmWFXzXwT
9NAuKJasEA/OFPRJQCSBE5Xf8DIO1Ptwitz80Z4wLFkn/AqIqrrJcctHuNNctZIZj6bBLSg4KXtJ
A9GAwj4T9oDiKJEb6capvZmjsNhoXYC4dAjn6XulquhjdPmEnBEk8cJm+aaF8OZnY6iONM2mxhOD
M9HqduJTPzj1VV3xf5etKl9NnjwzhRrNO2pXtLrrTR/Oxj5GCEUqVzUVH01AeDZaJ+fIvHnhCQZy
d2336nGJaPLXjVQfFuOqwFvspToH0h23cnGb+yavTQ8/cnPS8iq/08cIiLtJj88ro7E/WBnGLFaD
ecOpz0CMyBHGGFuSnMEVHVSTWVs7k8ZZL1rr1Og0KmNYm3ReQGZIAu9NsjJ4P8xP5dMUD9ZzK1K4
S+Sa0PRrEeN5NQI4X+fKEZngSD9G4gaCK7gJE7i4np6508M0uuFmSEDM+F2/6FcEUhh+0rXtpoES
TwS3dNQqsqucG4ddGCjlVPfHpBWckduqyE9TniSPoZN1ryRDKWqmdrhmRBA+wHtqoXVzsYM8StCA
dlRfkp72tRYMxLpA3R+2qq90AMxt/RAEud5tYnivKNxdeUzbprjvQpcstlrUXxpcOi+icmrsROGX
ILf1i2VUI3b2QtcOiG8qzF+uTlTJoJ9tN68ehmhqC0wsVWFf9VNEdmVUv5P8l+H2Xyb6rIhJmQ+P
Ott+vITkjepZoG7SbM6eE71KnpxkDIBcuQL/IpLRPaVQ95Q2PYAnJv1+ZVjhuc3DasMnKnZJk/AQ
Tk2Bzlt1cvYoPTjrMHAyNkEkx68Lpz5O/JrE2FNODAttJ402tHri+yZ0OYnVS1MzJlqNpo4mtgZZ
kccxhQ4YLUtykRG68hymyXVGT5YphOJm0rWvmVMuT1CtA+kBaeTLAe8utzrd++eUpQLl6jDipqSV
eKPN5YIevwIhbQzZPXFkzsZcuK+aBUoYVKnwRBAJrUJOvjiOyQmnRyj8hLKspP5cD7JCNhdpcriO
Cx0LDb8zcST1aK+Q8CSvX8pudPIbkSatuc1mRvZXtWAX8GiVR0RYRKpFBUBLZPnQ5kIfb4WrJQcV
laC+ikGbn7tiqqbHZdQS9leto+DtbpkFmrax7XsIpqQImM00nrkkjePsSAmKlG+2ouxT73/n1tBG
VqdN10s47Ukiq5lr5dOX37R//hutwc/DeAZfADmIIEP0CBWYmfTvB9tVDV0hM8V4HWqt3JBbgQOE
gDR7yo+a42yC8M3Izf2QrAIMudOsZicjsXXs4Krql22L+YWvihEXKS16nj//cL8XQlDarJ8NWjEQ
V1u57s+ql5yGcKEHxnhdVc21XXFWDA4YAP/+m0DRWWFGgAzsny+ATDqYKy4hobGBwJt/FNa3wi53
n2/zPy3Jv2pJopf5zQ/yh47k/yFSt/wZQrX+yT9bkjr9RSLLYaHCXLbQI/2mJWnBp7IUfUFaQIg2
4YT8k0GFNHP9KwLdP+WcBi/IPtZF//UfpvgFXtXKoMKUBVrI+Ts9SePnsGXd5dFBZbaKFgUf72dt
Zl7bNGRSNV5ETN+nZvgxdjnNGUeqUj9jjnUMyp0auUS/T408y/XnjhR6sWVknLePRm51oPAF/Aoi
0pukwfjp2wPtKuchVkXVKlo8SRGL3q9GmJQ7i3zp3Mc5NzMaG0eNilsaRj4cmz6jnoc71+EkrK6K
bE7o3A2xQ9ISzL6LDJLpVGr5gA8pRro9M0F9BJcJ30BTLxqpkHsgdHbo65O7cWVComXOiIJ0p55o
T5J1H3E8E8VBeY3KxM1XkQr0KXc7mjUagaxZWFcVtuH7JUWnoVfASz30T8MVKcqk2hhRx1G5gQgI
XIGUjGzPlpntp6HJEIO7JT6jPKzta3JDhsRvZx1GuqYxGlYg4pCcp0PvaYRkAei00kOFI3aXLARG
cm4oeOHCWgfxKNGHG0MGxWs3zuJ+xH847Msu6TZRSxoBJ6DZmPw2nBevTRGsYFYeXrrGmr8ES2mz
4Yc1x29cHwjIgwZGAHNmvTdeggwB+ChFtm8Noq8tkbLbh1UtOJo0JB2VRBvYlj2SPGlyioJ0J4/Q
uOwv7sqHNrqRqU2cWHW3i1p8JxjLSU7UzH7W72qVkuGgFfne7LLAV7izGUwmHRVFC9HMl0M+2Ij9
rKbc6L0lPWi3+aHGP0aoxdA7O2Mcx+3YJaWPMGUIOSdiz4QSSqfPF4BPUMXH+vsiiYymXlhNEsHq
DIOH8Z4jODR2ZLbIfQ+u9gFRcXROVZe9lHqytj8ZifmktHSHbIhCfWM0IAHymQgqIwq2DUMgEg6i
jDMFE2gxbEPgkmTxhNM2shv3ZpJ1ta+Dpvf72grpfgST7ZVmnj4ggFktn1GffeiJVh45/hrHLreZ
VNPgf+NpaAZmesL9GuQDg8257YaU8rs2HhFR9ceRdOadkQ1s1W4RtA+ONXwDoqWtVIBlQ3NsBraa
zbBY7MrM/TmcMBuECrMB4F7rlEbSecXybOzZYxVG8HYRYiMHA3GUQRN20wb1o7Sy5hoN1PKVZNNg
09fh/AUdVH4IloBHUNN0N/EqDe/8gCDxZobKc11L4h3oCSUk2RgDx1BJ62aD8rV8UmHdefhxsTy5
cfjc1WzmHgGk2X1qVYbfLiQTD4iZutLhPrQDi7oSa+adjOren+k3uruysIyRlSUQwbki79LrZVfd
NDnk1lbp0JVFOh9rty19pmrr4XZ2YQh03/4ve2eyG7eSbt1XqRegQUawBS7uIJl9plK9ZGlCyJbM
vgn25NPfRZVdv88BTjWDf1aFmvjYkmVmZsTX7L02yULmWk7D4NOjgP4n8pn2S7xBiHm2MqJB0Ct5
49rrhQNMRkmo0kB4KxVVnX0zoJEI+WtTy+6m+r+Lun8rR9P5FPH/9Z7OL7Oyfnv/w6ru71/zj2tR
LJu6xRrAZcGF9tumbrkx8R3YQBGJw6Sy+8e1aLLeg6XHSg42GQi/369Fm12dITzXRuWIblz3/pN7
8VNg/ZteEv4RpDnU/DCBAE14f8bNQYWp9ECbtRPvcEVACgeNO3VfuS/Moj4meu6Am2UKS4jaDluU
HVtn6WX5sAlzCgqHIUI5mVV4NL2ACMarQhPsK1kzo+jAErTCPckGrksp3oJd6sYWeyaLwQ5o25n/
GnT7QM38XY8AxAY1c/B3OW3T2ehza0LiM7iOtopcbfC1HplYfpRg34mplEMWIwgJgl5/EUUdtD6D
CNAZ94nihKBdNcPBuXUj7NLedRy3nLueyQgWxZSW+wjCyGLLunqm68d3GqQQtEvl/gxY+W8t+S9q
ScHWlxrvrz82V3FRfNBzvP2+4v75VT8/OK73BUmZ5E2OQWdJmaXh+cU0XTbcSx3pIn/HC/RbPWl6
X/D4oIo0ESz+/Ez9rCfJBWAVwGfKkDqoSr7zf/LBMVj6/mnL7S06bEE/JvgBdcw9f+zIJD65vCX1
7cQsoFwOf0pgbT0aMN3iFqHXJoXoT0aUBFyyRXjJ29KuWvkxwu4HLDTHxQo4RHM1ToHplWztkvl5
nGFVYyDPZLpGa/MtdEX4mI+d4wMqtJ5702yv6JhZSQyeFmzjEo4+cx3NAWjEb/pMZz0G3JDI93Wb
FAS9jfM+H63brG7lN8bHwXRC5MqYC1xpe+4TPuaPMg0659zMimyvDipcR3B8Lrv3ZOYeAb0C2psa
mbymastWcFjjbZjWstalH2GrfmFENkQjI5CcSZaMrZnhVO4QZ8Zrex8GWU6vLCBLbSr0vI9GNCl4
w6hA/RoKiH3gfMT0UZfqns0NuzqnjRC/Ju+Z8lizOTFxLLqKuSV7IXYYHR4mVps3NmlnyZ4/Iq8m
0kLzZdEX79tCsrGvaU42raG9jRCaVsw/8uFQs5bw58KTGwUtbyQ5j9XUHDnK2sy4Tu4gaVlXPQTx
jdF2jnHoGMmVp3b2gqc5d517JnfBQ91Owj1w2shlAVVZ2YKMQ6rn1EHylelStNGwa/ip7Tg8g6pf
qW4sSN4ts1NbofHBa8DsSIAs0lfpNA0n/Ojg0rWwijZObM93qgjNWCc4LK/3qWGjRqqnYUVZylYN
MzSOyIk1qclJvXWnINgz9BZfqxnS4WputPnBQ1dnrlrOvnhPRpWbPcW12xVw7x2sEpuOumTUOAuZ
WDa7Ja1Kbw5RiAYbFTTCAeMNXgaq19QB3mFZLNvyxiQ6sjIvsxUMm1EPCPLBMHmI+/nOjQIbhy/o
kzQt6YZiCyCFCUGX8B8mS3XXNu4K2SCxhY0lhk02B71fj5yyheY8pKO1zi0Bfq6+siZqpBmdnxOz
tlMz4kfWhej4g6OTFtvCTptHTYtuRwlDv+av2YYzW8S8n14MfcC97sQBmQrTPWGkzQF9bLSZbZWc
Va7ph4rqbMvlJo6ehu41bYxm02hRsiJANIY1kbHac0sWwNk0H3TaRF6gTDx6k3gt2N/7ioiOVRK1
mm+2SU9t57RAuiVo1CYevuEAyY51zFBO2U63nudc33AP7YiL8huz6rYmUK401dQ6XlKeQ6V5ZLqi
smTkHX1Ys/rqjAZG3wDJs610Wi6zTl1fN91h7XVTeC4I21uy8CjQk/m+jZEkGLCUVz3dE/CuxLjh
p09OhIxqiMjGtjoYUoJOzaoJjoTk4fBh26OqAy9Vob8L5xbKsQJ5at0rSVHrxufZCHZe3el+IuaH
2G53pd6QZx8Od1A4DsUMEcDVp02Y8PRDO/Ld3nxsFBrniSRloUHPxwi/raus3fTBzFw/MJ9s4ghw
3gBnNvLsIzN1MArFYJO8EHX3sQYSXhmG77V2s1KtxSEYu1dmxR4hwenGksszwC4I81YnYWSTM+H0
HYY/vLeqxkDojVAAcEnjL5Fwe7fOvs8OgnAF7fpoc1weu5oF2RjI5BJ5bbJH5QJky4mN2zBSt1Dl
USLxj2LicRnhRbxly2mWdgGjPjdpNKp2Yd7FQtlHhMKRzwtWb6ux8l4cFX3VtaZHizT+iNockpvT
dAhxFMm8hksUnxZ4x25iud5wrN+2clj4DLZ3YJ92F9j1LfNcfcsxAXmIwQCpCvRxz5wr3Vr0TtCj
C26TSyKw46s2bXcM0uFYlaq7WKEV3clx9BCN6ndzrbXQhPKXBpeDj1zpehrzbQGrfzUuSE/QCXd4
/jldYMUEnZ5sE4llHa0yAEQzvqQy4nZQAXELBs76pCUXPLW3Ip+De6LeripN1T5C2eTR0ZJHK/QQ
Mmv9WzN7X+1QHERnIWE2umqbZ8QnRGLYNmA/SjvZoYPBxZ0o8yKMUO0Gt/5e4DnfgJJoCBIRD1Xg
pLyBU5gNRBj2J0sN+iUy5F3nVeesiZ7sVJChks1gUTBacNJubM17hfmEusFExbKcpZXm3riN3DEB
Hu9GXrp8RaCT8jlG3dc0CI2vGUsE9gkOHzUNPJ1wesAF/aZX6ZFquN1avRInqMPuCvhvrPzAgyiU
Tpm7Q+84H6Ky3bdVcqQ7THdtpgMP9zRGBr0G4yPN/DnwaPcH08tXpdmZ302N14uWUnMvE1y0W8Yf
JLU5tbrKuoUyNvSQZxIr+lahmvUH0SF7VdwJQ/ZomD3haeWV189crInnbUTd3vdTg3PEyb8jWd5T
lX8FGZptaKV9+CRlisTMiU89PhYDp/HWjAJ4lKFlzZeRjhh7UgAHp5sj42TFFtMGDX1L04XyBdRZ
RYq2kbLOr1sEXm7KydQTT3xDpg+pDmXNeLvlXqviodiDoUtQxhGNws6uOwvSt/1YiGrvdXq8Yif4
GGnDcj0PkDFtb6W51mXQHYHWOiuu9bDqx7WJzSRkOjAn3R2CN/fgNel8HHv5aI569Y0dsRbug7zo
0q3lDLJZSfIsyVcxy6nfc8+KTd9633OtvzEi5LqtObR3jVXcDIVGKlKq3eZT1F2nY/y8uPe3Hbmk
RzXbz25jZg9jDE5EM9qNwT8PHkSmXjlezf2yaWaHb9QbtlM1ISoasr+yj3YMx0hrd6vUz1Ex+3HT
vyxktA3YBe0qJE3zCWEgrpC+cX/YnRWuO6tCIR7J7K10neneGdBWpx3KldSq/NzNnSfHIZxFg//k
E0uXPBQhrKdx0BtW0IAQpBxZ4pjLh4gXLFnJUaZbIBEcyB4/Xlg35Mkm71WdfsOY7GA1LPpn2fSA
1brokumpBYaRK9tJKgP5UlybkT9XtbkCMJ2dmnku90nHanVuivDKENkeixCxu2S6sd/wyjt4LAqe
nht1t5qS7n52bPWszd6+bKfxAa6ySV8Ys7Ei5DU+F237rlL3O6dztlWe7a27Ouge48Q42QWMqYqc
zzUjuXgTVDYXROzBahISfoW1qNWA74hLIRHSQ8pR58RoyBpvm+mcm/D1hhKZihOp7yBBDb/D42zc
oDQnZMPtmnEjO5khOGmHCPRUETZbkyEjl1ejFS8KZ+AptCdrC1csftKHWk5+6ZIIj+p5kqQ7SeNb
kVn2NxPtF4Qq9nxYESEBGRkFQ8czFx6HJaIbyuO8PzrdrJFtqq8LKa4DGhXJ57ZAmM6ELFvnVB5o
DeI+jHxoe/kQndjSOdsUl/g9IUdtbVxRaPnkgD0h1mOLO7yXgY1JqHLmdd5W46Zjd3kIELmv5tHy
VlySO141UpFZjAHjBGNVlslqNLtXsLSkTM3LurHCCWNlZbCqsWWg0C/3kfmJAyQMGUpHtpetMFd4
1vojuy6yo+UliRL5GJtIlbLKdhFe5XiT2yj3U8e7n2Ykeb1icRz15k43vqFYomBKgnJDKu8j7KF8
RfgwibCmXMPprdaNVa/cPgmOtT0VGzKT93PB+y6vR5LzPGH4JQZQPzZ7uEMsc6EEWisTggeKhx6Q
Txq9DiS9gMH2trrLI8696nEkdXsDd4BhY5yfBjue1onh5mtalYS3h2Zmq5DEPojD5aEszTtvyM2d
HcrvWdE9ltVkXeM/uW1z+hTBHhTMZmECpWzXlUnyrKys+koj+HlLyy+esqEGz42d5nHEWeEDsOOq
IyV5lRi1tpIlmvzI0tKVSMryDGPmMWfavC0baroYD8B7WhtrY3Tm2znmXQ7kZAV/Nl/ZiI0eyWs/
q6gzL7WJmwFV7g+KXxw7UbMxkhlhikaWy2j212PURNs56/LH2kzidYY7aqtMlCYmSFaKbmQWREpn
QHs5XKYhzbeebqmL7Qbf9KYO11462jvoRuOtmhxt6zUI3cjOpupBK3rNKvlSIMm4CMQwealwvTV1
CipNny7w+o6a4bKftUlhdvqeNaLnDGd2NO8l/UZmaC/Cnd/IxyV9q+nOtLkTDyPdDtl8YM7Tb2ZN
22UEvLkKYhXrVaArSbVXaX2jYnmCM8jxGCl2r32sb6uK9rYXtWRy3u9EuWh3k+SEp5oLNNGPeuo+
Wk4kUfTOb6PTfQ+6EJxVyvunlLdde+WUwWPZz+2Kdip81UBZ+x2UyDaeZz+Uzpkst69uVa5rzyt3
KZfjSoRudQkCgTS10KFxmtVtMlCdaU2iL5ID5BepG+qXNADeBi7+prMV6LgUNuQi60LrhECQo0HX
CBOaXLc51LyDX6c6+pAp2wao6hMBOqIBgoOiol9FVv6SlUlebhDa5ReuLAC2YykzCjxM4msR1cXt
sJifem1E0ZXYKaHUWoj8UNR65JdpW72IAcsMnDX0r1alHocO9V/fR/2Bqjo9eE5U7EyvMLdwr8PT
oHf2ti66h4mNzkqV3rUH9vimiDXjBx6p7jRHMb5S6dZ7kU0LkiiYthbp2A9mMS1pEgJtup5cgWKi
wQ/163kOex+EQHiWoyN9xAfWlaHbYKdR2uxkyd4eolm57R1T27ZMFNeYmygA0B/iPDLX4YhCIFdE
iGJVAcXfTejwpX4dmh0p91UiWS1lwbVttPbeyaZvbt7hoBLOmxNmPDGK2quiI9uIqM6DVfcoGob+
Ard5AW5HDnex94q7IV4rsgjwW2GC1CqroAyqZ2IX+faNN/gdn50QWx9v13zYmoLdWjsK9LZjso1K
PTtQNx5QkqOHRUW+XeayG07ziZfeKjYZlIskqq5pplwYFOSm0wozcZFj8tKj0qGSNvX0iquaWwj3
cXWZGu9UNIW7qtLEXIsAgQ+BGUwraT8ID1QnB5HWijCveN+kpuF/qlnSttFPbaraY1PKH2omlZUA
5tXSW4gZSSen+2bRUd8kNS9jSfhyQgLUBt0qc9BBw9EGx4w9vqudBjO5iUVOXnaZX4W281S6rLCo
r5U/Vrz94ZNuC0PfhQPzjqy16GWsaNp2KZBAze2wV8btx1xWt3bZIsPBpAAHeD2HcsOUgT5LSJiv
gOlXQwtvK4AYjKnB16ORU9nSg31UZsj/0wr71jgdBz6pfgfRcqV3LWcksdlrCsBvvZN8Q9p0cE11
AyEAwXMziTUt5Ikj+qkKiIY3u3FDq8U72Zgcv+1BePJp0C+z0QmkeQNjlJlL14RhUVfGHYkFBzfp
NnOPOV4po8CsFs3FszJRR6/YtLFvy0iQrcSdmMKJfxEoLNa/dF7u4Ie4WIkY0VczwqqOiQBC7Xg4
Ri4eTcssvpFE4N0mIaNiqtmdGhSql1HOj2y5bxDItOuxMsRaNvq2bSxAeXVNXiCFsra2M2da0eAk
D2TufriGujSzOKWu/YY9Yltlb60BTLN1fyAnr2hz42lTGCBEm9xbq6TwDaTa61n1Pyo2qX6mpa8R
voiNMgVNJhyRlGhJhious5I5QURVsHJeRQZKQk6t16RMbuqIA9pvutoe/YpsqOu8g8KpUdODHAuh
FiIIbBB/TTV/iJu86lPcNHqlNkUzFvU6YqM5KPtU5cap1i2faL+cQoyozy1TnPDIlYVgcTYcUhSN
SXVnaJr1zmyQyq8w14F+zFRw43KqkUHI1tWCohgBSFiNVOTtg2baeYNzudGmba2lYHylETFqw0nI
pzBXoou3iekZihQznpEVVMwcOm3Sz53jmrhPRidtzwG0ASYW/3+2XLuP8vKWfzT/sywCvlNccM5F
7f/+8ZfN338NSWSRUvzhF5uijdvptvuop7uPBvPlL+TU8if/3d/827+1v1r8V8yl/3oSf7+ILf7m
v9VgRv+o7vj5pT/H8Y77xeJbOUsuxzJxR6fxcxrvyi/SIm8bBo1Dou7yO7/EHdYXoTOfZ7W0ALGs
ZcH1S9yxbMWQDTECtsHkQED8T4bxlvenWfwSmYQGyXT4njaD9D9TXzo4FAV+5HI/9o4xMJVkQ4T4
IvZ2ERKNrV0Is/NJcHTJ+4AQiKGqiC8D0MF1n6FtZUzQGQ9JEMvnT6RGaYviHidR8Aq2CGDCzBQH
Hups7at6SVD3eEanWEM5zXyyhGmAsoQRtDYmZHRL+pAzxM3okholVWTGOPrYzQo1umKjzL3G6Ndg
2kTG6hpDCRVizr6aGmwyt6nWmNeRkcCejAKTZmnsEcApTR7rYGJOy0tQJCgSIhEdwLcSWgRs4kpo
dVD5rcB8S6yFPA6zKw8QgXW8zlAZXvScH2qt8qD94G+BXVJTaBqQAgtQ4W6lcEs5djahqrPkYQwK
G1Op3TKyJ7XI2sdM4xxgknr+I+YF31sY6G/swiIl0Jjj4H22l4Df1Bia5woLCN+Xn+zZrKzmuRj0
9I40zvEmGOMI70tQPFQNXPC24cN9wj8TIujrhM7NGjlIYLI8M/CjGYpCfsZccMvBM21wJPEgYb0y
5dElFpIVtniH8nuuXo2QZMsgI8wF71GtG2vmMmi4PQx5Wwd47MqancNY5dU1l6J3YzXEVJw5Yax9
w/PbArnwzjT8aoeudjgvtIvtGOGOYp5dlPeGodxbzeTdkqQ0TN7kWvvcwOKUB7XxEBAqcogZrRy1
LDYPDB7L67RW5JXPZj5tbCcxjmbDPl9laWeuY7B2IOu1nMldZ8itLGL1bZhz9VJ3pXiu8B1Iemxl
2T7Dvubd0HIX+EfULmqlybsdKwSk0LK8e8GRxDgcRenGG2v6EquXryIYGzqwTLPEumUo80av5eIO
NrxzVUlsCshY2NSOyJT2gaPa+UCei5h2cdBpZ4HneWAs5cD00UeXBrmR3uJvsFKLEnmoujvQDlaK
LW70biq0onJl1DjuCmMyr6JG00ncIGmVS9VNEnycvm3Us9yF46R7wUpDb1GxF+ZB1PsJZ477okjE
Y1HsDYqhri0DXh8NyT/rwE4NKBdRWoZEngl2xCXDziNG/E4/AEGa4mdRNR5TeP63bFWE/tUJQu1+
oq/DuBAA48/7U9y3zXOk8kuAjOlMoxV73xNUrCjJhcS4oB3DXCe8xBGZ/mhJPd7GeDNXOiZsuuYp
3bLIjlYthLIDm+nhKW4FMxxseFdNEqlNU7V3SWdE6zirhM3sRRg0ELyHnmybvn7Px1tj0CODXVnX
SMc6S+aVj8cTD1QiFEnzY7jVWtGE7+RqMpRBSTV2C9ijWyMjGU8am6tD2aF4nbzirpyB4SdNcAA+
0vieW47HIaYAAh2XbcyWuYUqxx2+OO2drcJGZQHxPMG8G10j2ZF8aqymqnUuzTTek3ARrpnug4RJ
rCejxtDIeKhbEfRcXg+ufscGQWDagyuiNV4EbpjpUJ9xE7uVHSK0x7meWAUS8ar5IH/4ohNa/qLq
dNiPGGzvCX12r5MeL9pEWiPsj4a5XRfIrSL/ZDXE0bRDi3uJlTvtmHm0foQ5ZUuQF558ja9CHUMi
SV2X1Tp15xfiy6yls71mpHXVDmlAy7R4qmRZI1oixySxNUALNUxaHJku3Uf5zeO03VEauZsYJf62
ZBlKSo/V+EtNvp/B1vpZ32tHMjTgm2cTbgYnfC1j0axDI4Lx4EzFWsDfZ/ZQ1s9DooY94WXtY9LV
LW+MQduF9fiDIitb8g2nTVsPgDsAob0y9NPgtAeRCZCbyBAGokInqJBwrb3MwdQWitBLz6th8FQh
ZqWqw5XgBijmcCE4t10FuzgmfZgeB11fa5k57wp7dug1iEtmbj7HycZVcXvnNSp48pS1YLjyAJEv
00B6YfWNAXUJH4XJ51ecEjlGip7lUCzcbd603q6ce3giQ6A/e3UIlLpfTIFsZC+FK8oTyup6n8vc
vZX8xlVjj9p144ZPDoQj4Poe0b2sCe0LXkCDte/YpsbRGpPw7KW5ixG1sBSAl5iddSokVi+FHHFt
Djn2yhZQfS8MeZFBQMWaR3gkSDSP4cUCs3UqJ6VQDbM1mO9upQCOPLWV3jzzjoN4EHegMXRZ35Gg
Ud6OMwxkmaTF2m150l3G28ActjrYJNYWkbkXog5WPSYlFrZO8iEbM/8g2grlWiTz2e/bYKDPBo93
LBxubD+ZlLWGLmI8kjfQ30XEDb5j7Qk3REG4ZxWIV83rfmAbDb/CHWOmiJScFZ/1WJiWtqTGpHgA
U8g8BufcPKkA+6y5G2XyGtgdw1Jl7eaSwd5MQoQv4+nrRLA1cQiYMBynfsMUjVFW6oc0GtNNbYjq
IwwcHFDI7kCPy2Tfi64oGQLCs5jtwIBvg8IxbYb0tjDsSxG2xTmfQarkrQD0gIk8bv0Bgli1aYx8
voQTKBikrO9dEj0wAKCUor6IZ2msBtlne4fx1NoKdKHI9OZwTS3CkSPJEKc1GZcxH5ObqAjiN5Gm
D0Q3lWs5KP01Euyay9h1Pmqjvut640eQKwSnLFQ8zXkBf6Wvl3y+3ZjqztGbgvlcIY9cOVK9lCHZ
IrPXHYcCRyuep4oAa4VLLuxJCh+n/IB24mBN+AkS23iMhyllP6TAHcU2dPe68XaCOSZtTrKr+6w6
lu14b86wj2iIEPj0FuL/ZH5vqT/9VnblfeCOpKA2M886yOW0BoXUb1AAt6upaPLt2OEJqDX3O0q6
r+Q0Bi+6suQ1/oeMOb51q4yW95X1PRc5O/C5a3DCxdWpKvry1Cnx4eSDT13w3rgpLWPHj+QbRYO1
l0TpFetgcxMr5vs9TGPs6INzZ2hTuI5Ad2x1qsdrUTjBTY2rmZiCNZ31Dn//JZpYwjOr5y1quCE+
pBEQlAH6VGIXGdPKvgvGiCSFIbYIt0JpcddFXemzxlw5JD5bNnpfkyv9rKmGEHl7fmqTeLcUm7TN
1wDisFoO3klUJXOjcK8QP68iTccJ3wD5Zu0XtYR/NSzBgQvVmVewRxgfhqa7qYz2GkXsFdUaKg17
nvjcI+4lZZBYqr7DwZLwMcfDyuzBkrHFbBLhzrlIXPds56pAKMBWeHIwp2iMWW9EXaR/xyb+V4L1
LyVY6On/WeN3VRbtn0KlF7AkX/MP5aJJPrQkEURA0aS0+13Qb9O+MWyTNIO6Yy7SqH+DMmJ+oQ20
0PPTJFif0JJfje9PAww981/CN035R+wo/Z6to6jk/5IO02Vj90f9VcVgDO7oFF07DJgNZiUL22BY
MAcWWu1p75QgRph0hREi31hWV+EnWIFe/r35pC04pM5VvksSNU7OWTHkKhvH/j5DPtrkRUxkjrnQ
HUrG2tlzvCAhymbW3xMZjt7K6FKqNdpfZ1qzmAQqEYOXfUQc4ohDo7y+P7KFqoerurKLTdSmyDgm
BrEIf+z0qoKH61MToZ+ctLPeTRVu+YWNYSTFLNYMZ14pBBHjMzI9mP0IvGNaGBv04UxfoEeZW88N
IrGBQM9Mz1yoHdnC7+iyztlrNTz7vswRYNZxMd72SuOg7HD7Ce95WLAgoARbephwSSidWMs+j1ZT
+WzXWBkjhI88I673y24UuTX5PUG77sqMJCmO7drCtVWgwIY4Rrk9o56cGejbLDGonTuDcWRsHck5
am4aTBL2aTAc6ztPZDoRHJEE9cMMUeuAmL/RAEnXIdddUhuryqQfr3a1i1B9I0YxXJWJSVfFzQQ8
0NCLLZt9ROa4bKOo5X6Ix6hUmATSqu+c08xugDUbSnqkfONmgMSdMCL2KNOwFxs5Kof+lA0engoy
aQ3YNemB0A7HqdaVILmul8IAJjlBcVOeNr57hVMlPzzWkz8mLsVBXkTRWLlx77Ds29pt7MBhqxav
KmSCxbaae/15IHP7aH96W1FoBxFla5ccYob2coMF8NYwShT9i1s2IM7jullstHoc4x4AG0tez+K3
1YRhHN0kLVHp66RPEMK5IwLpGt/KeNfanRmzisvI6PBqwn6IggiPrts6pm9KnrYvEjfY64XOuDOT
k3XIR73mjsVGXIoq+y5aRePpfbqO68WA3H56kcM2qREHNZ5xbCS7bVOG2VIcJ8beLLpXvNB961O+
WDcaTxATK5rfV+ob/RRS425RGGq7frFOO/x1V9lipzZmY7wtFps1Syoc1+Zivs4/fdip0Ik1QBzC
jFc0rHlSuzhgGLQu8WIwWIHaNM/24vMugpk5QKJP6xQTOD8jwjcdtQOA6osdNQTRdaZ91h2n+UrZ
FLyCZkN+n8/9jn2DuUkXH3pnONVj0swX2izrdnlnXwdGo6/x2aFmU8YVNkWWOTFETpdF4daNWcnw
BCr9R0mw5HW5eOXDKp5PtTKHc9mnOOkzpqlTbIe7JMHwEADDXaG3aN7FkDa7yq69+9CEY2JLV5zd
1HmasfAD8kYriArgnC4efzQn2j5JmuHZUuUQrZJ0HNCESPGC9hkNVDfNZbgaMl3eES3fbagk5A/N
cRlDtDyNbbrgB7o2+267poeYMmjctdZNylulmJ7vqwUWhtygL7+b7pJUlZihvirT2vrGmnSBLzQN
36PSDpmbCZ+QR6jNlCyHQUc9kY7o+Gjkk03QJyOTClgMo4UFY6DYcVedzT6ltUIC35yujU8G+LiH
dsE8ZDyfh2ZUAFYSlAViOnsLGcJaGBGas+Ai3IUc4dL+eIjdMorsBS/hZW6874OyeHdi3Vtnn0CK
Ksd2SI6MqbNgNciSSe6InXAPSGpHcKqTdW9oJYALY4B14S3UiwH8BW2zsZ5GC9mesxAykoWVQR8t
X8uFnwG9AZXuYBAqMuq29YIj31vLhcBBRgQsDqcentnWFitLJuWVyKoUjCogD22kVOwBnvwI2QD6
lMfzBgx7Q/CXkF8FKrnreaGD9AsnZFqIIcbCDhFsfE6BNuj3DvOQ1G/ok4muIUOWfk3pb24FPcCk
8LxLTA2m5rRATKKkw9FktOEP1kD6vugJypOiBc8589bazAsMJWoxr6/cEExKsQBTXMA5wBGAqAjG
FQs1VW7N0BCPofIqWO5WdCy9urrBGtuvW/CVPNmF3BJPdXtvIZ1KfAKCozXG/QyY1sJ9CRafnLGw
YGZmlp1vCvWRL9wYYyy9lbREeYXWLPFh99bnecHNZNh1wWB4V6oXFnCJTz6NtLX0KmKmt6b5Tl4Z
B4iHZOHaOAvhRh8W2I1mR96d6Y3sR912PJRjEJurMjAHv49i/bruq/Q590r1HC5oHfaEwVOFP+rU
MUJcRQuMx8AdRgxIybSD0eImmFrWtzbpbmuTfy1WG9qi9gDJj+iV0OkeTVOnTYpN7Noaoz7fXsBB
So/0G9U47L9ADpXH4hM0lC/MISuZ8mUsYYiNCxOB59gOX82RhZ+1YItQ3yHNRVA3H40YrJHg+2t+
uVCPwFsOrFF07xmSIRI4c+aidwu9gwERNvHWXohKTlxVDzR8aGg1q2aHFQZ4gNbgIs6dAs/UfJKa
Piu+/xbH/6I4lojbsRP89VbksX2Lfrcm/PyCf1TGi3FHdzGn/lpe/FqGYC39Qsi68CyDApkOGjTe
r8qYlQdwPmL1fvO4LvZXyuilTGQ9wkb9P1mDfFa8fzDzMBuVusQrIU3of3/2uJa0YVE5udOVV8wa
Z43LyHUCbjJ4T3luykM6LnD6PgyrU2OZzJenib48tsebaeG012oolzZwvGEcSAkMMeiOcAbrJq+4
LyVRtiOZQ3j9kR702Apy2wyGO5hPY4Fi2+vJFnyMghEMArBQds8wjxejD4AD7drDJp8fS4yzhIdR
4ZTuD1lxPHT7gZp2hBDtdEYcHCCaaskRcYHq75F96ea9VpT48CvUccTdJUM9n3iWprx2U1pNnb+W
IMtKhyWTixBngbkAAevcZGeJR+gCoz7aKUfMEumWHTwUuYgeiDGTcC2Ncp3NnfZtiPL4wU3MGsUj
0IhbItgv7Virw0w/jGog6N48A60jMjzaeDLR4d7qBLZ5Zc9YkuTFma77mDBwWdCGczqMYjMMeq9O
wiEGEZYBWPpLFKa9dhiHcqCYSbVwutcmA/jFWg/ThKkq+xLh7ARVbbfrA71s1d7QQyCquJZSRKtg
9xGh1pBdmrLgVUA8v9iJ/3sifG5b/8WJICQfzX92Ilw+hr8dP+rmY/r9XPj5Zb92pPKLpwt7yWig
J/10GP06FxzrC2RNYOGCLBs2/f9vSYrVjx7WQXHMVtMhm4g29teS1P3i8e3APnhCZ/lKEM2fGuR/
1jDjnaIh/u14oGG34Ca4nyZ4h/DcPxmWhKoLbD0WgQy9Rn5vUct2QwYGeKQo6K0TlTsfOvZOwbHU
cY8f+rhob6NK6/MdSTvM5GuGbDkJppRJDpAxZOU1mK2KRIUQyX98iyJWR3tSEFTwf+ydSXPkRrpl
/0pbrxtpDsAxLd6iY45gBMnglGRuYCQzE/M8OOC/vg9SUrekZ1Vdta+NTCYlGcxgAPDvu/eeG3Cc
0JMBriIzY3uD1TZ8mqzSeXXL8Z2SXpjAefE0NpDJ+qyiiK8NnqqlYjAv64wnv5tDE+auCbaEXNRl
UJJqLp8R+AF8jg23sBevQWYSfqZzzXooS2r+kBT7bVX4XJ41X6hcDiOYpKfbYqKBzjRM8yHU4PUK
jHw0wLRIjHVlU2k2sjeFpJ0yl1ETXb/bI25hMEnBWku6J3+9UZlukIm9+IPff0KouOOrlTm2Rydr
tb/n3g6VKS2Go8YItCYXxRd2jgLabpWLrcYtgiL4OqYaAHeZ+yhWSw39r4o9xwq4mwqSWr3qGNyN
gVc3fUWtaIpLokt6CtiSinLIuA9avJQJcjc8IFvjlfKHYmPVkfE2DLbziKJTYEQcbPPcwv0S+yUL
/zJnOW6tMRrM15Yme7xvk+C75ezf7/w6N37qWAXryW5CEtdT/N3Iu+m2xga7//XzdctPxSd70Yn4
J12BPb+Mkilr7bleydK9Hco9WuKI3bbWpNJ4kzufIuZSL22UXk9DXuSbKGKroQdyf3Y5aMaHMKfc
8uB2fWsDUPTwXtlAlCqgjJhCS6PKTlpWxxHgHw0F6TjsehriXmtyTe6OJTsVoXxUNA2mBZ8F7Nqn
dIAgxKtjVO46J9lK7AePTIP5S2vY+WNct/NrU8fd2cen/JTq0d/h4WtdlPHGPpXOEN2EjYy/pnNt
Q3WaHaiQ/LJ9KqAxdPeUeKK2j+tUO8aWtueu3DtUc5G4bhiZyTwBfktr/Uar77z3JdvpPLfsn8rF
PcBauCgqQO16QlCz0iTbBano8QjkFd8rGHJcCtgOlMUcP/IbRn+rvHQLSLx7oKZ7viRaQfSqsmSD
8hFeCrdIiLFFyt+bfWDuoIvbL9TeZvvCR0VbZRyo6Wzuk8LfZ6boHvtKvjp9jpvTEV95IM3peqbO
lbkTmzOFsFl+KaJQ9+vOdN1d4mviRR77sUEwQ3MYlXjFBr/FJphX9yx7i2tn2O5O0dRMg6Y0T0NU
shbDSb4t8AEtJvJ+awVSn2LZZPkqY4eyVrljP7N9ESunmDFmhy35HzXBhZAdu4/SojNg7amQhvh+
nLZW1WP8FWGqeZp3BtZpG/I4uvTd5NtQ3XAn3DOFEg+IR+o5hNdBVIiKnMe0bwQUZQZNMmzUJLzX
URvJJTTN6HNu0xRzTXVsaQLZ6DrINiVnKVCcJhwoujls4I+Cr3kHI8pFb6QtAYyoKprHBp9UClHN
jLdDPBJso41cQ9udBQjcJr4d7bo9aeC+L4brzHur8aCF2DNz3cJ5oNeSzhATz0be4xWMyw4/e4kb
VnGjMFdDrsRmdN35RkFgu1JP2n0N+PvbRxlSAH6si8rrNuAS29NAh/zamN1BrzLlZ0ThSkpMgTkN
w5pQY2WuvbJuIc5z2HE91kjrKWc2t9oivRn7lI6FscXzQVsJSQfbpZEBss60jwXMQDUX75UWzbZN
ZutYhaA+qnkwnihx5eYPUEIvqFiOP16Z9zA/fd3eUzFMqIbFwAYbhr5a7shdqYPQ/vbrztJkffgz
oJbpRBVotwFnRpHur6sI3d95nCApv7Sq8DcIudxWx8V7y+zIE6at3HI/RdyeIZRzACTaaD2YzvJC
bBumDelUfpIcTfSihGKyixdywy1P+/kWv3M101Cqf28tbcHM/Edd+NdsZbZYjjD/eIB6+rEEvLsf
P/58WmI2Wb7q99OSb36BEeLBPpBLFvuPk1IgvtgmYAMXVALkn1/AhN8nKNv9AvmD2DdVjctxyGGG
++OoJL8AG4c95cH58e1/s8dRemgbfzkqAVhb2AtSIDBQdvj3ZjVvbm0jVk55NEb8MwA/8JekIw3P
CsQxzxvfxPbuWepMdeu8Lrpm3rDFsPcemu2hKSTBKCcktYMpjmqPRrpPyJ/Z1sWRtYkit4MV2drb
InKnV+KOTbOZbcd+DyKitVYtcqYpSgQaAGtbNszfh7Luj6PdRXsH+Xnjoi5SWZAR8gEitJ9H6p9Q
sGW10sHUwf1idZczIuSrdK5eZd347yWzy5ESE+iOCZWsnQdTuR/FekyT6A7quH8o5yR/smJ75MnT
yT5a2Ui8r7E5NHtrNPSJyobFCmK57kfoezUpw6JmT1S0UXSp2hlGXdr75ynV4gE0sbUpc+86DmZw
YVJq4J5G0TeWZWBg0Mh5NlBikSUouWEq2j0UlfKgErmmXWa+VnUFc5VHwY69EVI6mvJduTQalBl0
zCm7NzBLrKinz1bmrPxtHnUVpuvGeWyXja5qpFgLLeU5QLA4Dp02DhAuMGJlsXHKOwJvGRsyghjo
3cQBqkvjxh4WW99Y9CM1PLFpl1vLdLxzFELckYSqdha0Fb5rp6/1aHUXL6GWIxusJ3cqps8ZL9+2
UykmNi/rrjrj+aNmN9+50Ho2Rj3NDzJJvY+BibUu52+iAIph1mj6wxhZe9siZT76SbVL09D97ieo
VxecWeklcgr8g37NInea+mIL+nXcJBgWqVBp213j4khiM8pGiiohEOA8A3moBR9+W6qfEZaxnRbl
5GMEKsot1428yllBLQcI/RwPZvrsT9X8brgm030JzvvCoWu88Q0E9wqic7xKgrje1hHGPI5sEK4x
lJ1Ctmp3tjlWl1yZz/FkEDwybNkc/KHKGJ4b48T5CrxT0QY0srBeWNW5JGKT4GfzDoMxJFh/CQCi
zgwyo5hjWOzdAI9SupoDbCvLeVDWPnuCBsMbmMriMA8+Dh4QjehOciBGlls8YmylR2uTNnRR4XFI
VpOli3vDcA6B0xB2Gcrm0rrWO815Xngm7TzFN7WZf3WT1nsoKgdan28a5LgHGVr7vMdO4q3GQJXB
p5Zzk2yjcNZ3GjfjPex/v/hEx8G/gCKyKqnTegYBa/PsA288EB3wnmTYpVtsyeY2ysvgRCOAhbU6
7HJY87FbP9STUaRqnUBeOtTUHLTPVq5kBliTMxb++tL1Ku+EzOR3BuF4Dtt33Ch534uRYzXrb4yZ
2yoKBY/VRvVrAfLplvRP4X0FscZ8t+2o6LqWUzCE39MlHuYkOlhxh2OfKw25FVgg+OQ6GTmtYiCj
00LIWoP3wn4q+iD9QJ2YjYNfjoL2rCon6VL5AyrLOLRgxBafgbwo0C8vxVw77xnrLj4pYjajoxn3
AhRUo6b7EjXqO1bGPttjSRxxzs4NPjuGzoCALCZOym2cjJfUedS6KxQq84nqsYo8WpcTHxGqTvbc
+3jF37rMrADm8qagQcBejUlQVneAEKwKy/3QxHZ/k+XKETzpR4PN7uRFWxGX7t0EDGPnSFyqQuQj
wQaH9xhXYjg/UV2+RH8N4jtZ1TYkoYpA7VNpu5cykJSzJwHX/USFtZPlS/JusL09gZh4X3qjv68Q
Ou5LKz/rCEjIqjWd6jzFTnwT1rW3q1QvY1y/xFSWHooatGsJmq1PXevke+3eMUoawZnUuH9FbrJt
o8o2doD6kQhyjpeuBeVqbUPJWrlGWd56uDke/NFzb3tCSm9OGlrYe+zgZrZ9xpSGMFo2yWjft5iQ
SDQMuVgV8Ps/m7n54BnV3rIu5KDuhfA1yWP5K0s04jEi9b+bIGg/OzLqrlLCExFJmR/zyOvuqt43
djm2+9MI2vFTW65zD9p503ludOTWGR4KvtVr5pnJhuyC/zaazVSt+pBgMLC26cYDS3uRjuWvombK
NrWaU7xCNlaxphpvZTTtcI5IpD5B+qG3Y47FKQriNsUhdO9C4N8uPeQd64BnDaH3SO/GsDcBne4d
2EANh3VstbozRmYK1FEPQ2+6Qesl3mhziw/AHW0waxNc4fUfJ2BFK8vkzBsxet7Xc4SwoONsKwlR
7JnNl7a/bKRCC3WZW6OWrzaiBs9CJ6jfYQP2FyrHzB+I8tWOHmJ7iyhuMrs2NqB0Xo/pn8gTfONd
yiJ/25Z9fpsJ1bwAI24umAbbe8fBiOt7ZskRvUzPTNqQ8+x4vM0qR68dK3cX9ve3xpfJmSK/+CtB
bUGIzaS0MO1cTgJMsqvBr8S6KmxY/lNc9OuEK//eSb2J3L3bvvsefRCdm21sDHLXtnOmBebiu1Df
u+DKUMj6FG35Q3UsS+sJWkU2V+LIyf9r2JYudiU8fjmOOPYqs71l0dD6K2Ear1MZiq1kiqH3KBE3
ttEti8k2apZOwXojsdwRVTX7Z8Maen9DJxdeZOlN28DAmd2NkxusG/ZTawyKS3VfZNH1BI7Jc1ci
c02KMLnufW3TcTywx9mQs3TerQmnEGkr6iw9kcJvalugO1xVOHO9R6pV/IhHXlTg6XjqXEwU1/+s
Q/+ldSjywT/tJwJITEFR8Vd+029f9PvxPpBfsOywiueaRpVwAvaavydGOE0ge7gAzFgaQX1adIw/
jviLIMLt6I8kyR/He/sLSosDsMGicnaRSv6dTSgX1l+P90DTyDtwxOcMh9vU/Pvxvh0zv5xcszkt
3N6NTY69Z4Gws2nzgeNXxjz8gsig5q+LtbPNWneActA7QImYW/B9TLTvgtgsiiAJ99hU7fYJ4T2n
3jVI0vveLbHvtIn35mi3PMUmnPpepdYmMGiEbTB8FCco6NnOzQKkWBIg57RuKBEs47q6jPS96D2l
RGT22LBFOraAbIyqDd7GhFv+AcNStGr7ZnZhDk2Dfz8zZWw8tJ9zuixMtrY7AvAPotpP3sfeiF+H
lo7xQ9VWWcRtbkBt7B0R99jPwZzKZcOTxNMKNpFvq9s8ljRD7Pwm1/Ut4zp/XZjWrce8P6cyPPSd
Cwx5S6ZYGAVLM4m/b4VyTJISkwbumFvf0iGHi5AGJjTYZOakAV0D2rzCEkk+Zw1n0RSfSuWd0tss
ThwFD4ljDy75Mq1AExS/odncX5w2TMkE8abfAG6xrxsJAjKtpSajQiF7DQwUQ7jHmSYdKp1+1yFF
Pk627inbdNh6VijJniXHaG9lUwiguOiNoyDIf8/DD3w6WX0ycRLyzNILFRvGuI8AOjxSUTGwHemA
8oxmqa4mp4ydG9TzO86gbIvrJ8fgPhMAqLpmN/pFdsbUYO8rnMZk1JnMsnKEJdmUFYXcYz4c/XFa
ewPp+qIosc+6cXTH7hf2RpxPG1dGGVK1s8Dbo+rQgZ66toUqcD8bfb3KQqzt2hjruzx1n0l7Rlc7
arp7cp3eFZPC+Baz+NtwICGXX8fTddECYXxWyQvb3PA+t6oZX0NtWGs1AJcJPSvckLBcQK5Z+BJz
lD1MsWvcGdPS0NIRKtmNXmufQzfMIYrhFN6YmJrmF+ZJOk/D3H2mW6V8xDKFcZ+0YzStnZSo7Bp/
kzetq1nrY9kyMK4CUvaQJsr+qIjo7FWeRS80X9o3gcYRsjJrRz0R+etmAgagtDYDhrufPIndfGV7
Gro8Rd0lU1tFcy7ayj1wVCZE5TzB62WEG6SNXWfyziYc+WiV0ulYslkcxrshiqwbc5qqg5TBwBEM
EzN7tq69xrlbvrQEHtHavPpDWfFXs2nHdZ/7/onfNGXQNbiHuav9i57z6RoSDDsRlW6fIpa4r4Ot
CxL5SH2fadWKG0OXXrpqGts7UZcX7GRa/xiDJjyYDqs0vEls6rChP+IqH16Fm+ZfZ3z8X23VJ4tf
0c++NkYZ4LXjCnONvt0LjtZUTql+l9R46CqsXSgb+R4P1ExVX+mc1ETgeVXSI12Tcg+MO5OtMvQK
zRyKdzK5LxeSMOPZ1K6riEqG0eRwDVF1AqTe07cAsWbeVmqo11SjsJqnMBXHTL7wcsS6djqFDhSU
AEkd60XS6oLXt31OdPuY1ob3fXLwX65EMIps5ShWPGur1umT16byphAzJZS9hGlFZIVOmegYyM67
ENBpuDSG7lFjOto4rag+3YETaa10dW+Hgf5AgwZIb9KjvrCLa/xlkXyOYrA/bsMGcKUKdi1aB9FF
Wubw1pO5LfH1rMOMg4vOTFOv04kNaVJH750dJz9yUDvrbmzO1gDCzHHVtInHAcdOTPeWbXicUCel
5rM11f5GEhEGDdFbBlecxHzNqdbYtZVpsLkQfnWFMb+AcXoz2ObDZN6OXVKGK8B2DD9xoShrteJ+
eqiUpP81i5T9SNDA/8hUQfRlSAYaaemgCrbkH1gKGKGPn6x03gcaam6oZGUcmpmQ+KOCouYIliD5
ZD+GSaakuHgBRdmzaXS3HnUaM7BMW21MGzQshLD4iPTF9qaeTazeplXddkmHyqCcat2L6RNkS/lg
Knc+RkbYrfmmyHZp2CFg1cG+b+R0Nkg4ES2q/U9Ztc7PypDfGV+ss+mNHc6khghHHtDM2mJYBGeW
XXCY+Rc2OqTCBOinVao/4yVAQAUEnvNpeq5E+0juV6x9s4WATbU6IoIb7xLTdPaC4fTamHTzGC6b
pzVJue4QkZvMM/DIckjCTVu25tekceQ+jRyx43r/THXpPzRWp9YxMJCnyGNyMOO2PikKdLfEgJz8
4lSgjp2uHHFBi+hgKPBiKHCQzSTWgyuf3GJDa5a6T+aq/d5MpNfQMc2cY4/0XyI3lCd+wnlj4XZb
V04NAznPnOKemjHoMtZcHc2yt9aiE9OGfH9yJrXirdyyrPb9MA2k+6b+DedXvKEogciOl33rO/Mj
bWAKaR6PZ0hmJFzcTsX30m840XZVtpmK2FrP9tT9NO0x21JfOjymWNS2o1TL3O9nO+kDzbJbI3xM
iIHduoJeOxWwYJs7bI1jlNrmNqUFBBCfVcD+amPjqIYbAHXx2inB1QmZf6NKgAgPusF3yIbmFloV
v1ff/xb7+Y82S7qjbfC4F14GY9jh30LHC1Yzlu4DkRJxFClViWNCnN3qE/OMgzD9DFKaPvo8Nsgr
lVjXujC/pn1un9jPJ7u6TxuIihG4oYYGOTaV3Q6fB6sxxRImI811kxQV1IB8YlruTcPYiBklaqqr
cWt7XfnZOyoBipc/JUMEFmiO3YMabWhfzkVLsrmlZFEmarKblel8NqK+DoOPRpkAesCKvOcWbWCb
Nl7NBJRJDCF9l2SaRqMcg2EmKloL2qu38Jg6gqCKxJXA9LVhj/DgGz3KYqWjXYlDe4UERKl8UtI4
FMcnkiSLdSO/2IVhkMea1D53h+Ag5zTaaLu4IhDdkx+PdyyNqQ2BjENn8oxSPjC1Jxmc8h5wSa/r
ciMjmq8c1nL7crQBmxiefWcAr6BhBF5iL63kQMa/WuM9+tGELhIkVWurhFIg4sy1w4MsA7tS2sNV
WWbwmRRzs/UMPn6Aaw7uNJZX18C6GfS4fkdnMCkXqofjxJbukJYRq5NE+6eC4HqeON+oFn7+zyz1
L81SUC7IR/xjreSScIge2uTPUgnb5eWL/pBK8JsFTFAeW5Y/R+8D5wvRtL/3vApmJRMJFYQgSQvM
Jv9PJSG2IRBPPP6A+LdVEkSZv45RVDMwPtHegBPApuhdkO+vP98f0CC6//qf5v9qTTdtwK3HJ1bH
gJ7yPHLHnmj2sqCqXUnuPCq8W8NxqoeknsvbBVq7avxCmOsyGNKtuey80p4LkXqtKbuLfy3FWHoB
xGRRhh3XPvXL7oxdEzcGTi4svKowYL1Gl563m5ed20jQ+0y9FIu4ipVcvezmvMr294UI4n2IfrKX
v5Z4UWGEm2X62eskbo/Qed3L0C20E93hUAbyDzu2WDaD3lSpb1nhztyTEX7WNoHAfWos8J6yCh+q
Rkq1Iho/HQfxkWW6eofMxzkxs0Mky8nvYTixdlTLAhKXmnunwsknLO8GOd2iIfsW/DDykLWW8bkc
d356NcZhG5sYemvR/ogmKyQUjUPtPoHtvu9tUo+yk+rEgppVPUe+mZLN1PqBfIGS6rAfAfhpgzKb
I/c2EiUdQUTxP0s3oufLrCvr1tBNeZyT5nUMpuYhVZa7z2J/fI7rvn+ky4E9UW7o9oMLP3oFzJEF
68HhXum6UUo0uAw0B5HyCGzOS1ggJi3J8CDzgGeZhBdnHilrS6qvGC8Buwxl/pEnfX8IdNLvTOwM
nxq76zkR7Z2hI+eUtX0N0UBrekFzarYcb3ki+LhlWtBfKNMz6Rd+n1H2CngOEyHv0sB3K4xuZ3V2
fjObHlW5VeHyF53g+3dmOFDt4eCoZ7TdT02YP4Hhj79mfRJneP9qIs3zVFXbwnXwh7MEp7aJhSTu
7oTPHtRYOVwGSVBiPVTCzpg0xnAX4xpY5RGc3LXqSh7nxCXpkwom9ZMQ9wC9aSLET4VBp0kcxOV9
4jKuSHby56il98ghU72yWr+41L2Rni3DxvqUFQo0JGhLYgcOpqeX0GO/ihgSyQ+ezZya4emA3sox
dFe1KA661igccJdAIfmleasLJ7iiTcRr5RtEEAvYevO4cVsCFHkwfpaenR1Fy0FVpXBzN2M3ELku
4+kGwdDtdmnQl89BlYavRuFGxgk4boNwUXrmd1CcHT4joYaHUSs4RPS3mm99kIdwlcpmuJqIKt/a
WVA2WivzHcWOqWmc+/mhU17uHyR8LExbtKsdEmum06SwJ7kKCagnqyE07Rd7FPENPmv5AXNL0I4r
+dCuvVbnhzoq/W+pJ7wLlWKzOE5BFjxpQKHgM+E9s8kEF0rVPILfzo/L4t2J4uCZw80H9IF647Lv
veAymn84OH1oEeOsV25DPyxf0wjKz5reFuA2YCnbNySKlugTxMQjPu9+iXDxHO0x8Z1jawIb17dX
s8PRumoSrudWEGqe/VZu/bzWa6hV7gpvU7eZZJ1sZBxAIlJ9c8oqk2JX0bHmtOPU532Q6b5i9EV+
sOEaGUEt9mMukwdEVWdfJQL1h5KykKZEr4Vln8XY+yU309ES9bwOqGkFvN/X+TGa7eaW8RDXeFDZ
eFyxh/PGekX6NUtSuuAxpDMOaHYvxzCaIL/6hqq/jd5ct8Cg/e7QiCCiQ0PM3Z1kvv+sHA/HW2em
I/7fmTB8puOArrA0aElmyHFn+HHzzVWz+tHksXqbZWleaK4Liy1GNX8mATBTWE2BZXMXz0FIcNeq
l3y1Co+xZWBlMkX9iIGpJuETKAQXnLPEnGEflN5JUhezYVGVXwPi/+xpcP+mGbfNypTNfhLFU4Qj
a9+1ipnBlkBLuhbdDsvNzHKrJ77QYJn7rsmCFNvRpGwXh1wBMjYG8JALEkfoSvk43Mi8ccseVjKy
0ldtIM0dZgghmXj15wzU7CpubbPvXzGwdeldOCEuW0HqMk5T5qfNnMB5kYsHTJzRPbfFae/5mT7i
vHoBFVU+NLgHHgazCxmGkzR8Ua1bvnKC9hEJMced4jnKXvzSXWBcqMsPxIvKezFMxX3giWbXRQUn
5ySTt0EEzxjMHRRSENfctnnaradiTm4HSATwQL0mhTlVFLdpIPhx3czY0RtDyK3LDWb4lGIukByd
e27wRd5pAg8XxyFBRdNaHz5Kv3VpFMrUEzgln4THCKDK1gbbBCMa6DMxmuo8M7jfBlVdPwJ99o5Y
qcQnOSV9VHPr0HxM9n+iseFbBn+lWuvG0IfIzGeITTOxLdDp26an9RSvHPejITH1DakV7whyBQqh
Su+bfGhXTmPZd2EFO52bbBY+KB0u4GALrnEVVai80uNaG6r7SHsJfdBu+dRWk4mer9sDtwtvnzat
cZdlpC5JSCro9oGOqbeUCX2xANJWbTPVvI7o59OsvfmKiqFIPAfBcTSH7oWEdXE/YiM6cD3RVlEO
VQsjkgI/fkXYuInvz2IDP5/cBm6z5qpsJPsVVqNgDQrH3MZOIg5pk8s7YG/hRXvBdOx4MDJ9W+q2
DPxPUUEbMTvbqiitcZrXBKrmN4Gx7dhVRr0v7diAVDFyq+HjF/OQxuflrAEbebtkTLN7YMTqW+15
apP1pvtmkbC/s+aSKy9ebpoqyK2EQUU5mpHXsqrHcg5eE6uMuGPHtPLeNF2zHPFZnsbrsVDBG7pv
9ogE1TX3bstq4MCKnNJk7bqZQ4koRXxni1gjzzFaeUXDHoJI3ILM552voA48tk20mfA4zzs7dr1d
HbjeOi4x1a/TSF01G4f0pv+1aR6WpbNT2w6wgF+76NnKhLNtFXB5jJTuQgK7mOzlRlDjUZaI4cRH
1mrxkI0lquw7KZo3jr3TV4zy5Wc6TtZLAJb/CT9AfWqa5KkpvXlb2E1x9BqCq9hJCno8F4s89stw
+CkT0oK9++YNaviw2c/GK9niHeic4c371f7n+TkRnnyrZGGc+eVYMAvq7FhmffPT1g6Rsb5uMmy2
AHGJDw9Jfmirub/ajsI+B003Rj9r4QI/+S7Fp4W29DUmZ5mAgFZOYaz+Mz39K9OTSTrmnw1P/zt/
/3j/qw7125f8MTpRPYcbjOoN0/T/WiPi+18kS1SbSI7FzfuXCvSHDOUwKCEzkeBBGsfRzeTzhxQl
vliWtOnzcV2SKXZg/jtS1JJR/4sl33Fx3fBTCGuZ1f4uRKVmbcnOlsYhMAz00ySd8TOzKn3603vy
e3j+f9AecV9hyWf2wk73314GB5gX8GrCt6y/DWra7Np51KOBqiDNJ8QDMOOsXe8KNcKq+eevhQnv
768VULFDAgksBnn/xVr3p6GQ30XaBeAvD7MJk1S47XihAck+SQ0FrMa1HP9/XhB74H97Sc/GrucI
tESgsWKR+/70klPGHRZtgt4VziPYVJqqP1ftAPeCHr3K4Z5NAgrXuG3txBCNCz85T+c9SB6r3DdO
NKydkR3bgpcFx5MSfQ+qiYP/HLTio6St+kxZVwBsKAr23MMo23Nni20m5R5zaxbXPMvxegNTfzbR
/k7B2NY7IyxIH819gtcBWNLGjsp4PzeiOCZRB9EMSeRqGVL/IE+tX+JMti9eHV1AAST0xufleqhz
cdAMKBeJJuqTCWWzY3VD8VPburoDSZc+M4cRTxBhvnMawuD0MEPGrUpYRVVYbSjSAJ2JlYfn4ay2
Zjyxxuzt7sYz++qWZRYNaHlmv4s8onbcVc1GtwZdEYSa2B9OQehyhLSqz84vCmrai+kaVDpmNdYo
HwXSlzvRWe1bkhmBYlKOW69rsO2qSHVvgWM5c3eOyzrdebj38BWHfM4hh1bMXcIuyo+h9eq3dIj8
rwvd9CGImNfXjB/B99Tv6Pw1g9YrAcTOoIwM0v67dvQFBcJUOXxkAFipFi5lfoe3x6/XqGfVebnb
38xDqV78WVNLQn/exrLYQrICjHAjJKlzl9jmA84LQbg1nR9i+OXgcUT7VngV5R6T6HdEaEluT5Vb
fG+X9Bh68OIZrzcRdcY3EZRdFs7aiYttx5sDEie/0BGnv0rbMq5Mg/osdIhjrpvM7EjcRRhs+tJQ
rIzKeJQ0aB2ByMrDqBb/95xkZ8F08j3q3P4jM+c032r6Isqt0SfBibeg29Cz8tn0+VqZeHnKHKVh
8ujjW5IrbiYJF/fTKsuiZyjoOErCGrmu9sErGQV0BEDYgNaxRAZhAqWs7m9So0Uwm/poJsbmp++O
L1BBDe+bTaZnE1fuvJ0AwD+EKrfOhOzvHfQREyC+J/loc/VMjjVe6BbnoGqOP6YC+rQDoO2SEYL+
6HEUUotXOx/1lGV3uLWsTab7/gEIkLGmUeWhgYK4HRz9agywyS307a016+7W8LTeqsBVjyXboXUE
sGE3F/JaooF6dlhZhyTzEWrptxnjmd1GwtkdzMxQbVxgHGm+mv0Feau7FHNpVGTO1rUIIwNhaFx9
9lU+T8c8EBG7kzhqMM2GhhHpFxBKiMN4BwcOf7wRFYateezSJ9pVfvlLoDH6o3ryOBFtUSm9aOPM
S9SdAxUoBKchfBj0PhhkNWrXe53oWvd33pxZ0Bd8BWkgwUjl77qUlhCJW6V3d0TIdfQwZg5/0q6T
EZpB0xKVqQqcm/eRa0Rsumq36eKbADAfFK0OXNWbVcdL5EqUIUxY1U6B9ZIOCk2imQLH++7B3YYG
CzDQOGVooUP7yPG0LJo9x77szXDq7DEYi2TfipLbcFV4zmEUff7i4fpr16FtAb5Wg2vD8xqXfJMe
SWY4dKzsHXZQJ8Va6syxzTlYNOt4qymb4bQXOjBxDleIi12z/GcPyfiRvLj6BKMZ+qvSLOudzGz7
uCRIERoBUGMVyOWx7kR5Sib0sL4YFkMFjW5c7D45VHZs7C887AI70+1IakIy2ToUL6zLTpAcMWY4
CAZewm9Ty781uMkedUdUZIUAMdQ0qqoCQqKsf0hX+md+ELKcmSWrm3oOCr0ZYDLHW+qVqqNPJ/kd
9Ufue14sKEw7H81d2Hls71XmZevML/jZDLfm/zlGX/y0KJx5sUUPKyRLXU2PTFE9RgXn5dWy6gVj
B7N54LrNN/85Bf4rp0C23BxZ/vEKfY3+/+OzTz6H/s9b9N++7PeToGd+WSqGF1u+zZOeQN7/NSR5
9hcPjwxHTRDCJqckKEi/nwQlqW1HEkNwSSkwyS9Hp99PglKQOQhcbNMOLn6LRqJ/6yS4BD3/cnDC
D0plnbA4w3iOENbf4pmONbsBYO/xUJWRSTwIriNEa9Ce7CZgBn34AhNrvcRZymEK1nzyMCJNkN19
MwMs2ftP/vh/2Duv7biRbNv+yvkB1AggYO9jAmnorShKLxgkS4T3LoCvPxMpqY9IVUtdfV/rhdVV
LQqZMIHYe681lwtAL+8hlNNsHbGgbRzNvkQYjE5UoGdyUuJV58EkFW0ol50pC+BsEWa32CWMofY0
xr/24PkMHW6gcuNNjkMg4KabbfXGQYfBo7jRIoEHjmfaF+hIgzTrHvEG3A9APTcNrWZICumzrdUi
IPqN5AMdFROBxVh4xvZRpzb1Ka9QuawuuiJ0HmBj3DK3fB5Rz/C79WNeJa9V1POOqgh7QXF1Q5o7
I/CS72PXqt9iVH209dTb9OsOYdJWdE3UGTRLShxUGtoQICEROSXbEDqQP3rhNuoLCUgmezUy8qps
m1NZuW0XiIa/NB85BciNP/AVOA3CPUGg3wVhy58aEeb6Y21q2zg0us0QG4SpmGzwEB3kgQ3c0B8z
82ZyMW2uv4lEisKe6caGnm65iWZOQZ3jtLV6fbmJKtpdUH+2ecch82ixziyz4eNP0mA4ygeSNeJN
sUQfgCXhj3MGN/Cq8nUum+rQyNbwrZCxBDUoBCYvj17CHB58j3sWXFe/lSXIuU6kKdODlAvcE2VS
idHw29Tr7mmFZmxlqdhrLV929SKWA/FMBC+sitHJck6Qw98fb5Kkmd1gNpsuqB3uA32WNwUWBb8V
3v3k6iOYVX4UwroZEz5UlALCpelFgCgmzKCKCnXqeD3GvHq9i3r+LNOky6TTmSlXnbF1xjj17RBv
wGJwY5GJTVKOZV1yP7/S9pUbihjS46bkmfKJa7/wbyncYUQsWhlMvdvxbqj4nYKzhEPHDQynXi5E
g2m37drH4/UugIVgtuO26kmu2AECA1Hu8QKt1piswXbzU6FHrzzk3NXEi27cmLvTdbhVqvVZIAl4
/pDH/CswomfC57j+ynM3wEhoynG6iJK+nxeu/ASIFO3MFJ5OvCwuYux3vud0jw6KK992uMLuwM3k
8jQeT0ZZ81BMGn+0zorngkJkGwqnOc2NzoK8z02bZ/iwZyjNtwXRGmhrJjwlVHG+7GugiYVhbPG3
iaBoTU7pinuaorg7wzmg9pFt6Oe4eRNei7QTM4eHcp7keTKlzMQHzNCS16HP1jC7oGUrAtpbInCR
oaEGjvKt4DlhW53cjDFZTuvjJdNlOQh9MLYKZA8wMN7A1ZBWjMm53PS/s9MoFlj1mJzQjF0fw8yl
QbheWw1z7UYLy3N7BNwc6dwCZd14KNw5N8e7fHGyZVfRTdkTNZRt5yL3duRz58GkcTsfb4D1DucR
v0nMpdzLmWXMG3m+TTouh+Nl7ocJW3jLbaQygxw6YNFP9ToPstD5+IvGsZgkYgXySCJKreQZLSWX
QM/A+fD5PF7nW6HxNBcSu7VRIqNbbc1wWYS6tJS1d6f0WYtIndWcqTwPMyPb4qpOfBAO2iGyeE6B
HuvnswOByrG5yTDbl+caCXo00Vi+nLR4KgHPUTuUm0SZey/Ou41APQ7NfhpRv0jbd3ohg7YFiIjC
pT2ZbJhOR1+lSgpBVUewpZZHLIoRDvVw4tJpDjL5cDBuYlxx+0Uv533ds5jU5jj6VIU4j0c+wkSH
mgi0ujqgueaHk2PSX9cmwjCN7fGhHRN7JItSQ+DWx9dWyy3RWuaNMa+lMk4Z8K3V+tqhrz/TX911
Nv3BrMpFsLYkz0k1U5eDk70itefUzDwBx3NtA40OsoK/ctC5riZpjltT9V1AtAJLoImW38m18BpX
KLODqsn3bti8Ng7/uWBGzEMPrydhPTFhbAP9bF9coVnbUkPiUzXOAyTnaptp8bU2DZc4BYjPojw9
nRPFhhQne65THmDQNbKJLW2pUHUGS04L2yIAZGOzIyDF0tWhZS5Lmz6T+aMCvU49ykth3FtRlged
O9XpxRx1w2kyCS6hFCGTFELmwHKlggjvmECOaywrkJ83NtwnZ9d2asRhnfViS7x32zHViWsdERv2
qBqiiNZX1Z80Sl4I/KwwLUuVvbqN1BaYThoTaZ/lfyLQtK12XpGR6gqXtJF+nbY886k5akHEqwgv
rRteeJhucWvIcuouUdO4zgkuFhS/PSIa7XGOTOaD9D3y8zD2JFbkNtdtv5kz4FjWaBskO7I91m5L
3OOnsWP/pvm0Npd+7HGxrzFtrCj00fBuepJ914/dmdzTDHz87XBwknnet0v8mmS8XGTp3g8tLAeL
VGnfTLjTf9gCXn89wo9Nr/eNqONxTTAXdEeEQ+v87XEBnBqz19fDQZ+Oix3PoEyyP0E6ZRtVZ6+/
Ptr7HtTxaAgrUKjrnqBx+PZoy0TIYLKUwyGfuUHWnQCyWm0badR//xQB/0kRgJFgvXf+fRWwMlou
vqjk5U0c+7df+1YF6EfvgWlbkhUdBukPsdK4Atjr4/c10RDTulztxd/7wastAaCK58JIdbif2bt/
7wfDbzE8ncaqzrxudTP8nSrA4i/68WHBa8zhLRfVvIUcxDLf3UYNyEtuJexBLUEo85MJcrHblKaD
rF/EBNiCXZvaKZ0PCVONQjupjLi2WjRhTnmoJrKDGZ/Mf7aSiZ6vidry6XKNy5nCWvilaXMnSGxe
TktzKPuIWF2mMfk0A1nC6ADreqXPG1AMc6ds8ePM5AZjf1hQFNPJTbTeuRmrYSTIurb7tp7v5DF6
3Z7GXnzKv2ayL6aG3ralzUdae8II2ldrhrvxLdCdHW9GvjtToaZ274BHL2t0MD09QAk66T5YANIS
SvV9x4Kib6EyyVygAHX6ZdiXNU6sgv0t+/yzRE8ypu6ieYnx8e2cpp6vMVGVjN7nKeVX7VlbPtcl
+/eLfx7A/+gBpBL+5TDm4qnrnl7iofvS992Phbjx9Te/PYO2B9fIZSADfoXpC4iUHyvxNUkGt7Jr
2SbDA1r5/1eJ02KUX6tj820lrh8D4T2B4s32UKT9LVDSTys59TfFyJosz8HEMWvmh2mCJ2d857VW
H5Dbv9LW8vaaS9xi4orpN5OLvzqSgSJPosiTGJHevxlLszQXpXMkYwFMKWpu10oRLBYP/g8L4V+8
C//qSByDNQ8RoWm66///w3eKei1cGG/Wh37KBnJfxFU3Ek1gN8vD3z6QC7UBUSCHExzr7YFGksO9
ql3qw9xlr1mevYZa8pryz//mMNbareGK/3SNenyMXWypGmc/zUMiD1D7xDYtf5X8F6eOe9XDrssi
6iKsfPuNwLYUZhXzjUakeedKDKDjK8M9b8v0N19q/ZvebJRcHYObgTXVk4wq3wOtnRE2E3Eo9SGe
pgyI03w7R+oBRPxDPUI8+fUZ/GlXth6MPRkbXANuxvqy+/GO0PAs82xWxPg2a43RkTifugAZKi15
Ei4BN4lJ3YdOsf/7t+LaTOMF7DjMVt8/XnZbDUbOXOhA7FB1N7QUXxbGuAcN79Bvnq93L1MWCb4j
Fj9WBZp7PNVvv+MypEzTKnCEGq2VQzHU8xZPfXj36zP5F8/Wm6O8mz66iMRAduUcxVPWmdGqB/QW
5enx1fj/d6R36wUZoDFuEY4U58McgOB9QlBOWOnvHy/x85diau66R6IKfHfn3e2BDNVyC9i6hxoa
T1CLkU0zATLqelmDjTz4hAHzOX3XeJZ1EAh3CHaX3laSYHo6EmBk+9AP1NZVDFdbJpIvTpwg0UhJ
qGIbBcCZQnGGDHMSLfp4UTvwk7FUsh/BSN2sqkcddS9CM5FRbjKRsA6OaoqbufWMj5ljYNAMybsb
i3EOJujT5BktBFfTL9lPKfdz5ig78ju4RQXOQpIrxyYyT/qeLPkhy8ttbzjlHYpM81R4y/RynOwe
Z7ejzTwXn2N1NrkdBVwMb7nazmYungmAwvbS8Xk0sFZPRciXzsaeTiDOhqvIWNDxs6+zfYbfjCH0
Iac11dBNoHqmX9iIUG3RS7sB5lGN1hnfjugnECqp01P4lwaePBaXOGLQYdu8AkpH6RhTa6jAo7dO
0JFB4/9aqjNd9CR4MqzYw3HQfCcXxscoXhl+kZ5+jtwqf7AneGpNJ+tPjV0YH0O+OxFjk07wS2EO
C59pxGYUO+tERUp4NxsKeGbemslso5uYdLoaI2roev3nkFNzFqdNfWUP6Ssts8EfoBl8xJD2qrop
vOvtpTqBCsqnZwBCoI5RZRDJBAQHy/Py+BrqurpNFRlZrOg9LQmGUGNED4JtAFMVYB7MgZiv0oYd
ouQykrV3hQ2yfCX4Xb/Uq5STOOSM0ZEV0gk83vY5zSJgW1iosHNgD6Rc/xiS9wG0L4bJ09RIc8D9
JTAhkuyztzAuLXCXBaEVpwVZmGO1+NWyJvjg5hA1ytGx9lAvhuNjHNYaIez6iImLLJ1kgaFRtiQd
JstHVyute1VmjIGcuCK8NiLCsWflFMJtDmaKXb9Cb3Ivy4r7B4sb2LjWtMaMRNx4rAgnL7zzVtH+
9TwCNUEmqIxxMwy/itZ6xog8tb2Hrml57EyxaD7KBDShM92dXtYj87h8quOHHtXeuEeSnT55k0H+
b8lzBD8EeXLijfhKaLbdTmC9Hhew03urhhS+o5dnEK+IMmsBWAZGCKZpxIjPxsL5vHgrv3zh2cKX
NusBdtfuw4j29BOMd+vMmXPWUCZbpOYMJJ5RRzH8Myey7fWMK2EBOP3c0Ek4VWFUbgmDNuD5pAzL
Yo8OF0NFPgjDvAjxiTZ3zRTEhR3Dh/QIwo4QUKQaVwhHW8YPVrXYbd3Air3wLh1bECQ4VOMvZU1u
W4nvdzPbMUNdUx8e624e9wR6oWX1Bm6EZXLL08lMXrswwYqm9cT06PkeU9SXHs1BEHfqrmyMQ1+N
z0M8J6cF4kyyuLFZ8ip0buKBh5JAUbVd9aMXI63HbUQ87850e3Jlayf76IILPxOe2hULyTDRomDH
F1PWZRsm/XiG+5ybmlVRXcd5PQflkCLvZ1O5a5CFbBl9zswn65C+O9FRS8vqVkz9uCfepfBrk+9t
FOlT0mnuFV1H6ylXnXsjx16/rCJiphgxyFM1cEdlLKifBy/MfZET6TPid9paHeF/m4KBzhXeieml
01r8gVHHmhObmXuj2/grTZE/WRYLZduyftgxuVNLoki8JgwsIBsOT6MlB/eGgLv2XJ+GdRSx7rQG
r232OU3fICWBFR30OnyfOHRbVe2BHg6sFF2fXmLQWRDbmH94HZQpk+quTfIrWffVLp4kJKGOQL6u
WffVFZlTuV5zM00EZyebQgcE5XB2ktCbgsIGp3Ncdac4+dRnhGCsye6bcb1HLLHoZDgjskkt0tRG
orhY49hJQK/orUs8g7sO7QfYxnVwIhdWRNJnIX+Q1JEoztACeSpQwml9U8NROHCFCbYVbXuIUPLc
j3UUgn8sy9NwGQAeDqw9WsTqMXk89NlYcM69athJkCcEX40JwVaGePb0oT9D381+tBoAFXcEBtgC
C0lcefsCssBF3yZXMpHjI7l43dWs4v4CyOHHRMjpo7t2x9wZRL+56NZh8ZJlW8ZNcVWT8sjE+ZPT
kGKVyJghGeYUs08+8Dw/tCNOR8OtGFRFRYPlU9ZX5kwsK6/FaM/i/qxZNBoNh5de5vE21JI4f2hK
Vt62ZMURhavfJwKziL9wSaHzrHsL2yQjceEa7Ki9plW7uWpzTTzrmKKHQ0F0RrsvkY0belyjJ+o8
RgwzTiAwnhR5DbdI6hW+Hgm0lVMDicitMZCUWVu0AfxJ6n2MK0mxwczeQ4UMJ9yQdWF86MhYOkV8
CTSapngNWXRoTmXeDcGgFwSpBCG8Gcc+mydDFeiTRb4KzQpGMLeNMSV497IUO6KZjEWMNZSuv9oY
RTi6p+aIRGoT2jB9JJFdXjug5Udo89rNaUw8AXm4X2pSkzZ6EpEcCeyMzJFjC1c2ltg2Xxu7roP4
we/bvr+mt4IcKjUHVCsEpQHtxIRkYv8bdGSpnd59doG/9YRQ53dTKrFf1zqumnVzDSgOCvZ4WuZp
FiS1eDbd4VATu4C+QeJ3QHuxM2yeLxaO8cayUu1Cl6WWBr1TMFmhw7nnOTWYV6W454fcJZ+qYR6F
/+UpI7px60zMKQyBa7RyGv2x6A2a9Lyj0ShEdJJLcoU138vlcsnjGr1EuaMPjGzphucOQ+Y017ST
RGH92pGWw/pm2izfZsTuhGoJydxkejmgHb7wIRsmUjPd2Rr3v972rpP5t4URs0tqf4EJTtLOM9/t
sDuSyc2hE/mh4QUa2MY0XvTRgNIEyS6rHFvLS7ydRCCC/0r2mYeXmgfeOuslzCh0ZL8r1N753kxk
BAKdNwM/OhQUu++KXCcyIp4BPk9b6A+DmM/ajDV1cpKnMh9uYYbpu1+fgZ8qQ3QLgtLQpLfs0CJc
i7kfyvfOHK2CCM78MDZswspwCHlB8TouQZWcaSZ+5F8f7ydF5SqUQACL4AFUipTvu9klxNPMtAk6
4RFGT88qUQUJfuo6SNviqdcqj+Q5gtJRR0zXx9cOIwjd3sfGpO9iPdfw4+cWHNFm3Cs0aL8p7ORP
5QmfD4ektGyHocJPRXmtkkpzzSE7xIDtT4exK14ruUbPTzhTRAEGns12jsqT0Uyq95ejzV5TZxh7
VZNdRIpD8cRWpjx1DQCvs0Hl2WHLAJs4D9YZTlvvnDjh9jyzO6RJI4GNm34IrUMUsipLReGKXacI
70Dxm0/SNleUHT/2pKI6N2CyeAGHs8of1myfz8e3Yond3PWnhfHMb86Fvlaxb9oG67lgR7kidSwP
L+bbmyMapjDl7ZUdejtlvw2ZetMTx+hP0nxsEkc7wGcagaPExs5qGWthCTz99e3yU53tIb9dAeaC
S8Jt+u4T9LM9IY7SEzJYCBSwtAiRlTn9bhn4qWPBUWhUGLYkcQxw6LuSFHjCGNpllRxsk82zjYvF
L+lDk1riUWfYGaMkXNfJJdyw8fHXX9D4+RyzRZFr/2fVNoMnenuOsamYY5tP8QFGQRQecrPyzo/i
s2Jga9yh+J+vPM3yHkpzfsi8uXnVgJpsiWixIr+vSsxvrLfYPDDAuBI1CjN80yQKl/23d55WZfdn
ExKzdQKagcL1+On/ifn4DdSfmpjr+O/nRaxY7LNe+v+pXv/HrwgAfk6efuxaf/397/IxG7g/yjC6
Il/VYyxJ33hWjvMHvWxeCIyIvrWfvzetJQh/zwQgS0fPdblvuHG+D47cP9bFFQrVsXsEB+fvDI5+
ekfySiIAHW28wTvJlus3//EVMesloP1ZiUOGMauIXtF0X6kZSx3p5uVUHopEnCKPpHUzPOqZtkll
95uO4irJe7MQrR+BjiLaf74zM7F3y0BF16d23Ugc4MECrjMfZ68+7yBZlAWCV2NFTDZD4OHyxO0U
XtTg/vd0kEG2Gp9MNEoLBEyIlhcUvVQF7q4HF1nDz21icqeooDEyE30+ggQV9YuJYTmpUPGQVK1l
n1M0Rev/nPFEUpd+6JZqnxSIsLXtbMFjIE4D9h/kK6QyJVBZGijDRms7KdkoDlA3yoeZUI2We+Kg
bHdTyBWhIc9YXR1sGcuN2RO27q7xwq6GrQ5vp0RKv+2yc1MbbmhoDltVAifFzHlje590CQI/AiHe
8QlwV22Ia/FNHFMF+Vwihh9e4XlUhU9pe6u0EJQRjI8MThIdJUo6Q+yTfLiOOucMqd3zQssFYKTf
2FO+t4Hn8KKDfCfL8qVQpiCfATvmLKaXEo9wZA/dObGjFpVM7dd2x8Gg8mfyKip4L/yzuPwnwzCX
ge8vF5cv+dP01H75cUH5+jvfFxQ8RqbH7IdlAVHqUXT6fUGB6+AygKb9ug6zDJaa74No7w+a2WhV
wTkjWH0Dd8DOBL2G8ZlNYbW6if7WerLy/t49zRYbK7axOgYqT9jvFpQsRaGnL15zmIEtPvZpX64O
a0m3SCF39pXTFv2ubuZrEoyXyceHih7U8bDFiHqXjpBXNhhV9McwGYp4U9K08RMQcF9Ub2ur1iz1
3RCb/ZqRVoJepqmUfzaxzeJMIh+7pHGwn6WIaCR5WDQ5iYTWoxCEF4H8ChrycpmnVj8hrEPFiAsw
NP2QBI9TNkqkAlZIzTRYVhsw8c2G7Ut7puAWAQGS+UZTVrqf+HDGRrZ2feIseI8r/Du3JYXxKe5I
XOiN9pjkBWqoprQ3ZgMpjKeSNOhVLltjUMFgS/+kUN3N6BLhrmV8yZBvqsfGDXUZ5CUvi4PZkqy1
aFH3xPy8YlBPJphZdG9LgZDXIlUQtDS9JQrh/hbn8o0tldgkTn/RV+xKGcffkGJ+j83hQg+J3o1V
eTc1i36ukCQBJSrHjYEpgh/FeTUX56ZbP4ZUef6i9woTQPQZueeJDXN1k0t5k8306CyUiE5V3alU
Wz7RDRdBLeM4yIii21HNEJCclAQOe/dKhlugZYgEQnv9CM3GtvirvWYlnS8OdOJM03Y9Bv27qPPy
B3ICzAcdIsL+qEMlP1nubB2pIFJcDMeieO2W+lqwXz6Epnbaw1h+qky9vacJDT4rCaFjyRpPJqLE
a9qPB2JaKcitvrmax7h9pH11b3dJta8UJix4cdG5HWbOFv+tzhzLdgnZdD/ALdTocMnpA1VARNec
VFcEc6vfipffiybIwfGdRsibHm/QZUEkMyGnRqyQysaE+rGW30lNV1sJfSoOjErednnv7TpAAoGU
sQ0QydbBzI0J0c0AaMeCVtKeQRb+0ajWdeRqM+0P3XJJ1xzt6tLQ1XAWRVo/7Ajpsz5QOCdnZmGL
zyZfPOhwifn4/IF50yauCA502xBDMgiEs4lU8v6kSgVGEyvt51e6z4u2d+m3ha+z50wXudFKXm0l
wsncSWS7QX7m17xyvo65/tlF/mYXSTmz+gH+/Tby8stz+9Rlb7aO337p21IPp4euBXIGIMQ2Uoj1
7/u21JNghuiI1gYCom+RUd/1DisklXaHS4nrOS5yoH9tHVEF/Y0gKMN910/hjUN6sm4ygRXStvhg
b/eKuRw0fP7xeC7x7owx4Bos5EQOAnFP5/J8dBJzrjEqroSA+AgLAFU13VsrQaBbWQJ54YIVKPn4
FySR21fGSh1QRwBBv7IIjCOWwJCttiuXZHhEjFhctkeAwbiyDLBLJZfAfSUxmivqoF6pB7UeAyxn
wbzsVyZCuNIRBFhNoAuivO5XdoJ3xCgkK1EB586EJHTFLCgIAY+YEkN6MbFmbBq38m7z2C1uW6N/
IC1hOelcHW6DDsHBbqzllsZ+e6siGe7kSnpYwl5ttUkSel8TIawmmfkMAtXWjE0030nW5PdDkqon
xykautwVKk9zITaPbkx3jaAq/tgU2TD7pE/WOD1HY+fFjn7noL+9tZSdbkexWsw0YPznbTQRCdt0
HwoIOTQZdcMhdmqU4ORkvdyXPeHpQlfPhPW1KBbJnzgIbUzOG96o2aaEy/g5KRd4jQ3X8AMGpOKS
F0C80/p4OSX4jpdaTEB0gC3SIXkuo2WdIsK4BqKeHhAPX01ZiiczBcq9xFbqd8yAD4JYOhDm5XCO
rpYSWi/YA/fFNN/N7Nl36E/hqcLKuHKZ6xxomJQXrKDTOemZ8wHftXxCqFWdpp7e39EpyJVfZBob
f6Pu2VTHBo6K2hwuFr0RO6y6MBvDvLxhNCPv+tnsP2GMyV9noxP3xjgkgU1a9lXRWdqlTJwd5L/+
kXMFD4XXsEc+p1s8yjYZWSjhpkHiE1uk7Mt+ElhKgPEqMDZdd6WDVjtPVa98ur+MglJuHEwTmue9
SJkOrQ86napAW3hbEZCz0sCJor0puxVpaXsN6Wggt9Hl4Ax1EcgBzTefRmN0z8qBSSwah/rSbJEh
D6VAbWcsgw9UUe2UjhJgO5KUfF6TQ3HIo9o9CFpQX+Cspddg6hCAZ9FylYGxBXtuhdqLC7GqQFHc
6d6mmWzol0jvhrMSuR7rF6Q5YgfZ7xNAGKRabj0meiE+tipV57aXiW1sdsNFgusSWX7djDctxsZP
TV4bFhLoWp3VJBnee2ZmXblYEFu3jvbj6IArEl0PigYLZmbJng7yuGTk6eqlA5moIV4o7pUVENEF
XrebyFui/GE/IQmqOKECJP1sJsl14za6uRAP0BCJbrdh8cAyUl/PhK0eyqgRW9g61jbBEnThxKB0
90xagTZA1tm28dxcFVERXbWxaQT4aeTnHIgRnWatVR+7MKa3rtxhvoNTIXmxlbnG6FKPD4QRF6fD
AkFmUyDJD/1RY2ezI2xNXCEz0HVfs5jSXmqZGz04OnrDjWNXYe2bTROykiT1ErCR/TOnseZiBinU
hVwcEJdJZiUZ861Re4jGjgYgb3IvJF8+UoFM9JT5SMr8cEduy8Kswq3VjZEL/WPbhSW21dpo62aX
2xVMtAv2AK4CbS6jYlDGjhhbwhP8iHAQeGBoiTpxF3Yzzq8PkVPU/S0g/AEDGHlkSXm61EanLX7v
poWCsD6iYL9rUxWB54wIFy8RJ+Risj4UYzo1ztat2YTutGHo0z9np671DHUAenleXLzc/tkH/G4f
gHTjlxXfFWC2qvyx3qMVs/7Kt10AXeo/ePUDojOYHaxNpP/bBRjmH5YN/gHhL9Lx4wbh+zbA/sOw
YZ0QbfSv6MjvBkSd5hJUQIc9gomWSnh/Z1tAfs/bim/VaNJPx5i/tjqRzb+v+LqB7NLBS67TzJMp
Bh1dAKJq6ZpceWFtEh6DSbnb4/go2x3OW92zNhOuEYz2YzWpywbFLg9ZRvRKB9Gol7cQRQH5frRc
5EPCtxn68aovs0O0lGK67vNG/InqkeSuDZDPxPVbjH6QWAe9oslTxUbmjvvKM0mUi5v0tEhL/XXl
KFQbKDbus2ZkmJh4kk6dzGw2VRXx7u6d/JahRLgnUGQJJMQ9QEFJBWNO2sOAraaFFLrkNTmKizS1
D47Qnl1lEy9iEf9DLqBDsPyYnCSons9VZiYnDrDMz1OK98lk6bY3TEvj2xYIFFnZlZqvx2EJvaA2
pqLdyppvTEm69O62Y/0NPHo9Zw2s92hM6ARHk/2cIJf+0I12nF5ahtICJg/OVQKZddpgWokTP7dn
kFBOzEAr9JQH30n0ycxuou/LgCsxP4YzE0wN9vIA0y6M7hwTdvKmq2bY6QgjxpPEDuOzZVLqEfYe
qF28OQJHpBy3Hqpv4u30tGCki44y2lA01B/nFkp0FDUpZGCEiKdaV8KN0CxqQr8IF4QIABcHrNEr
myxdEoMSUsXdEqRW17WBnTvzpx4Gvn3NNzEE9kCqogDpjwrA+8htJ1qSXrQ0fnXa3GREnWSHLjEp
iCJpB9Ya0zdUsXPTLKaKNmWcRYEx9/CWbUp6EuCR1xSNfkOLfdqWY2GfhqYz0zRoLfvPCWJRQCou
9h9MRFD95qqICdBGMoNArdTqczMS6XwhSmaG9amRmZOLPc8qO9fF+lSY2AhHFInXZtaA/l/KRDdB
VLBboN4mjandDEVnngNvKvVkE5d0emlMsr828b5z9m4Iu+BaIWRz7oq6ZPbsaBh2HphI42KyKhwg
c0wZvmmhX8BtVGrN8TOg2MGVDVvv3K6j+M+igdTGwNUhgyh3Z6hEIy/tzg/JaLpECpKcj+TXnNlh
OT0ZBXFCG8AFA5jysphPVAQL0+8qo2x54dsiPgCSwOeF2yDHHqoDlWb4RAWKVq9w6K4kyXWiZmDZ
cUMrBrxiWPBkk+yFKKWekz5o02qY/DpEenq+sIdvkF6Z0q9irmZQI7xb4VJau2xSTAlsq0uRkCII
jNa5oD9EjEBniX2bOdjgIwlqQugmpXLq4NTMNSe51KoqH3djGNKjsRh+tkGRu9Ojwe5634OopHAX
3S0QM3qv3qC9aItX8kxpNvoNlyx2Ipor2S07+rr0oaKBpDMFWdPcuPNAwjOU5WpvhnVb7vmPzMXw
TsCjZCWa78zGU9WJYdk9AGEiOm0ULQwuT47qRIkP8ZXU9w8W/tBzmSCnuRszgxSjKYt1QiMZ7AVu
relnsuvExRKmtHvKaVUUmF5abNOI1cwioWqTzU26X5R0T1MN0hxR7ppS50oHbuDIrlwCjsQr2g27
ba5HazgP16raRVDUAxxT8kZjKzPu5IARkkAc44wsRBSWboo0TUtIqsZ3qfR7tphJIGRucJ0zWDPP
beOkT6notQ+yzcdPMKrHdttWpsmzZqqRPEviawodyvwJ4W2mTzmYdltAH1F7xh8wB+jr+IM3TOLI
ydnY0A3iU7PTLKwXM5GqtSBXLjfHQA12TKlnA2Wx7DZa047q8aA1ray2IcUDhV1lMSADwl0P9HHY
89/rcyQfxglaCrdwv0k6xezOK4VxsN3JubGtRA+iPpyD3oibE7gxjiBFFiNxrlmIXSo1qdsy7MzL
HO3RuCFpoNAvJrohF0u/2OnebSr52PTqMYIuhkGcWDE9IFg8d/0R1AUG3jFVw0VRF2A0Z727LdKK
aLKK91d0o6sxbA387vm8zIdCOr1DgYQaLgpPG/Cr7iVO+G+z/X/2U7/ZT+mM0n45nrt4Sso37fNv
v/FtO2UzkFu7F2ykrGPzhC7G9/65/ofA8ke3hbmcTqH0r/656fxhWi6KcAdM99cm+fd5nEm/xXIg
LyA/Zllkj/Z3dlMc4k333KVpIwV/D7GUoKnsdy2Wmf499RR4RBCqs7e15guAlD90ma5/9jf+fAgK
a9jL+ro1RA3x7hDhNFCSrNHRI9ThjEapNuNgtzml/+pl/RdHWT/FD9KTlh2IQoVJi7383GmfK/Wl
t76OkF7U/4u+VP/FId4N152kMtHKcohhuXHEzZxArnr+9bd4t7Vd7UK4gywbGwdzyZ/k7LbKjXLU
3PYwgdvfUJpHfkLGbgEax4rN4jeCpZ+uzPFo6/iY0S4mw3dXxlGW6q3KaQ9zFVkb0fEjKVDD0wj4
RoT5z88dh1oZdsSeGpZlvpdeiA4ghqF0vljsRvcqZR8cpaN+IejK/0Zo8pPq6Xgo6ClkpRxZcm/v
BD2zxJxLDlW29IkyMCMHbO4zIK0FnXukin018qL/9YX7q1OJM4qZMk1LZuXv7g0rCXUD2TU9p4yz
aJj8sCGPoUblx68PRRP27SPL96PNyZPrmMwg7Hfj60xq9VKjsTwUcyzXTA+NflnjpieZIRRw87a5
rmcd1Fa+xBdDrtRvjr/eFW90POvxMZmaaGnWpendXYNNu45Rk3cHt9DU1i75gnYzffj1l3w/o18f
BJrKwoUwwxLpGG8votKrfu49oz0wkdH3zhRPqz5ehpe5wRhtmQ0IG6h9txX6zN2vD/1X9w9Fp2Wg
dEJG897aitlV6RE94UMKvWSLBp3uZ6oBRXY0QZKsjGJrM8d9uP31YXH4/vz0r4NMvizoe0ak701p
Kx43jUYsQEQvti+oRsW0TQTMDWdi1bGQqt1CwAD4kA/hqSRDfKc6ySVIlb6f1Tjtk7ptH0i+lrqf
gBcL2t65MaxitIiSUdO5B7R8x04ekEav6Eqyq73DjQDPa0UY3M8ZIzAnddKzzh4d363qz4WLks51
2flV+ngY2IFYUM5BxHm6Hfwve2eyHDeSdelXaes9yjAPi97EPHAKcZK0caMkCjPgABzj0/cHVpf9
UjCMtKx1LzLNMlNJJwCHw/3ec76Tal50nUk5LtKqLQmbQM/o1m1CSl/mHXV/cr8RpFpA+oJDBvJE
c4+waMYlIIpmHWlOd6SA3jJRB5WtpjZtr1qIV4/w2DNU9GSM0NwEzZV7BxHn1trXKnpQ3pRvbbO5
sqFnPA7FCNJGEEWhtV62Lq062ds5VdGsNexNk7KGeoM0rn2dyJXEgifEItR9YcPED0l9deVNCNtL
NuHjohsb41oIi08hWYvLsGyjk0i6/meg8vHUoZJtAMEgK/ZgdmyJmXrtYcp+hXtfJ6s8yKZHt8fO
veqJX6zrYVZ9N7b6rRFYQypukqmnwIz9aDO4yj6xx+MHzTfYsY3rcnRMstEVUBCO1O4ql0JdZa6A
gRDbYb4WTuHJJb9fymlQecs2SzRE4/arajSShkbV/kqm4dGezNegCJxvg4may261+KuCN7fXwTnO
1W1epKK3XydV1gSt0p0FDcyKkWSSh+CISdGX4OflA79HMnjpIQ+c5imep342VN4xJ0H2Wua9WFtO
bWzB0EUn2HvJ24F9FdSy3vSmr29L08TkxAcnBOY3CsxVo47bJaMA4oy2uUOAyQDmBNuhSsiFyf0U
Gn7S3afl1N4rKfjDNRkli9SPYSaHNCn1TMCPYu2l3Fq2645y060fcDsxLhkCuIw0V5h7vRvVE8m5
T0w33xD7TDEdEaQhlm0tjC92K8LTGMZkORSA+Bayj51bMzMSQlxDfWvYtfghPAyBzBJN3Jh9UIpl
GnnUE2yDLN1ECPsWop65GkGSLAfUvgeg5dVVpXnGFyOfur0bSPdOaJa2bWRk3XlGHl71tvMk8mo6
USpBuz84nb5ro8o1YfmjjWnbgTYEyXbihwKHtQhkX6qFRVrfthwj/7edpP5vLcTf2CD9P9aeEfyI
UDiuw7ay0esgjV1rjQpwewbz/RDEVK6MafiVoTWgbdIN8Llwh+6MxuCw4AfmVcZx6kEn62stRh9g
uaU5xpZEznrr9Hb/1TdF973AfnSilqETpkPk5xwVFC9jL+7wbACz+GmkjTpUnKNvWmtAYGJZxXXR
hsHtYEzWQxaokepaA/Z/qIiz71Ei39EjAm4kax+bVV28UAnoT/U4DndDEqmboalcoH3eeN1g1jum
kva8QaV8CX/dvZckChI/M047dL4+xBgd6QIo+XnxykyhTvWkw9jCZkVZokB6siIksOTc3utAll2V
LyLiV++JTkt+kXbY7IyORSjVqCYwNZzVAORgI0fZbMEih/mqkTHQfPZc61a3q2PWu9NMT6k4sqPO
DxdQSviZjojcVRIQ8YBPbzrw24YPplFOB/L2qiPByOMyc3D3LBPqDhD/8iTYo5txNmWSuCtyEoK9
0wTlRrlDuZZ6qG3rKMVkULgWc8KHZrThgADwZ6zrvVbrGZdRAbYWEcgOD3l1jWY+C5adUNyHoWSD
Yxb+cIfmuvrRV0qxjHXpKSttfxsl+rhUrALf4ziY1pDOvJ0yk+7V00GsmSFOOmhCwCHLGNmWryWS
ZnJp/FBegWQ/I0HydxO02dOITPo2QLxyePvjZuE693lk1/txCHOTXDevv+2nZLiFvA/fyE/LkfRa
njzP0V/Z+KpqQlIZMp5kytYB0ThBSXT9KNqpOaZENc/ezN3pQJfScaxRqMWxO14X6PA4xofmF7sY
xLfEjsqnLs4hwgdtsXWcSaw5RHPo1+hy9Vg4lvrQpge3bF+QPao9SibqYWGbOCv4YnDR+xmbPdbd
TaB0bl8R0ZWrjSC+pq3XXRuaComTMsphV2oB2HhfGta+Ni0apLpP6TFpjCFFoOIqgrRm7hTKI35h
fXCnXRCn7r0xNPpX1XQTNKiGRyfxIS4d6RfsZ1z8fpNsGZaOtTgME9QXoybvEPuD9iBjt++R//Do
feQ/V6Vn1fs2s6JfAZCYQ0q04n1eu85RwC4GowUEzqzCbn77NX/LQbTeWxKvch/EwbYoKvce1QlB
THYNGJ7q7BY3G26/+WPXBACXNHJ573rX09bkpQfLMmhA7QE9u7Pq0X4x8ipbF5IJTuBYepiY0UtP
t9U6t/XiNeEbvqcjCgojdacnJhJVtkgLb1XSBvdFAuoXc06wjWtZoAex3K+Ks6giZM4UV1lfsBVv
cvywptCGO0XIzmnS9O61g/TzmGOvWk5KEYQyI8n+/ZxSNSAp0fllB8QzG92Wxo0DuvQhFCmLjJWO
B2qK7Vpzhvhb0WJJC8pu2Gh66zwTnmM/A/CznxNHjjd8qdxNVEXaaoxjbaVJO9p5QlCkCbX6SxmR
Rm/WwOy11Bpu3u66cqhnlRRkb0HFb3SS1PjwNcnRIXuPBHjiA4oWlRkmA31D8qB+9AAer4sgUft8
VABJqtxYDhTReYm9YDy05pjdCn8OJs8jGLBvc3nyQfAFmu2zr/Dt4+THww2NB7HOIR4vDRulPyqb
Ir0F6ZTv3XFwvwZCdFsldOKjCW4wIfPZPP6pmq7TppyujQreXNgHVr7UxzRiCTTAC2vxjzodhxsW
hXFvSlHcEm8ykRPqgFgZGzk+6UPpOAva+Ml6InZi4xlpcJUFY7Jo8fShq4q0TWuZ6cGmc3pM+mm4
MzC2rTESD7eV1/Dp9iJEZV5VkmhJwdVLQUHVIl74BgkifJu6PYZHqBLCbuR1r7KCzCWvKB/acig2
OJUy9kCF1xwN21S3VQiOrm7hf4VRNhHTaIDZF26/gVqhkSySFtpDo+tlvfTzjh2zbc3QRJYNHVlV
vVAOWrSpiUng9jtUaxVNnq3CofKkt0ynXE5sq4PY+KGH9nht51AF7b7Xf1CgN5FvxCj3NSLjDhGN
jjXtCvOAWXc6UT32Dm5vj2tfjfWeyPdOLmC/STzTgYufCwsvK13RWNNJdwfeec3KoA8L/uGBcEvq
j8GsciGOIFniZLTvwEwW2MQncjmJPbG3+O0mFNLC3fZ4qecruvWiAfFc4EQ3Bl0OwoDi/J58IPL3
/ARvqXyLuCtJirKc0fw+FqOf8G2o7q3OGjPsn9oxFN1dK0fiqOwKoHWivfqV8khBIhakpRoPelxc
cRnpKsOXxYYuBF/j+3W/BilpboWIO3CWQh1t4dTtkiYZvd0WCYCcnHypovHOlHEJOc/Nf3qF9rOZ
nNvBbKyNOfT5vG+r9n7kmQtUjQ895Ipl7WshVqFqy43oliiSilUIy2ITpP5XrbBqlMVWWVKLrQRF
aiQSqVWrle4Tk1s40kZWJrlelCc2uyrTpcQui+tBouAuonBJViN+9Rho56K0yGifaUHfw7ZzUKIb
GYmt7dCtB38q76XtmhOCT71qwHpHOMpdeYcwVH7F9wxm1Bzzb40m25+y89x7z6jtgfxERHVtN04H
TDnp1s6idqdFxAPBmKxswhPr6S4J3fpe0lFad3nrjUuEM5DkJtddI1IVS1FH0ZaEkGTTVSnVOD2L
D2FCuOLCUNWPoJ7yo0EG8G7CsRTUq74MrV5u/BZ89bEpfrC9N74NHMevjaDFS4yxrDx1VUI4k0mL
5E5M2K8UDR4MzFGzUT5eZTOnrblIA21Oaq55iqtBOD9QE1XEzkfTeGsbKjkVAPU2UJ7qb27N/or8
lMi8Gf1AIcqMvAO9x+JZjB50bvxX1pM+fyHBE6CjJ+FjNxRFe4xi376O8kY9FwoXMQEt/SFzwu7Y
a2P6UxHFFi3oWgDCb5W46zyZ/8obD0eua9jAfJLS5BWR3sGAjHxVK07grsYBezF2hc1Zt4FvN2rK
frQKD9+ycIyU0JIuuim18TXtPP+rWXrFGoaCT/MQxKbTZMky6VBRsMeb+BRGOcD4Fmf3yiVB5pgk
WbJLZIcFEmQHj5ev7WHkVLEqI2ta9Ia/CkkuoyeaP4D7I3Ue4WjIKo+LT8fIEIwcig35XFuJtUpd
+KALiDe4Chx2xrSK3fyBbM/ySk2ZuScLlK3UOsxHESK+T6XfajurAbu547jkaq+jymC597WzN2j2
PJGAQ8OPVsWWU0yPlD9GX2VpilQcLyPFsU5eBsMqH5Mqrb7KVg7eVmrOaGBUruJ025WOcACxs6Wx
NVWcMGvAXm/KePie1q7ZLVrAXYfObF/J3sTpTmX3CppocbTY2f4spO4uRzF3BrX0Zio7ElQbPM5b
lXrkePGortJOIvsKKqluKASGN4T5uHOzgu4NwoLqmnAVsWzqxPzC+/9LFTruCL5pwaL1TMR9Qk2H
oGzau1SnyGCDv35CYWbx4SLRxihycWqkVf6gDPbdTpr+uz0O91NrNjY4y4i2UdEbBO+A31RSsxC9
ttk9npheLaOoqr84etbkS1KSN6Ar9M3UzaQCZvwOeJK9JXHTuzJTl35SWrcEAuUBZ9PEDH8g+ANw
xkqI4VwLN344eA8cdfiehEH+XeQe6uQweKYv1R91aZhbfoq5qoZK3dux/YvIsfq2o6j1I5wE/cS0
J62lscbkOgDsse1qjztW+v4Wc+BAb5R+PHfCe/a6yH6I8YVvkha1j1kH0aIv2FMRLRpsHLK5kOKY
d5xBnliQ09tBTi7JMy7hwL1y1zIrxEsZpBOZYr1PmdBKbtxBQPZ06BYtTPKKdkNDZlgI5v9LMTUh
O1yNenOu9orm7knEmnvnVXq4ciFp3BhRZ/02QmLby6SX67qNw4Moova2cKClZU7q3NswKYtwOU5C
a78lhKyKKG22OcvtupOWXE1q0E9CtO4OPkS7LFVabsfOyu4VKy7c2kKuA8Kat3XWkgA1CUIEdPdg
heW4VX39PaLVtkvoYy97NoIHFlKNDljQXbGVI9PazsObJqxS9r/QiJEYIX7OlPxhVYn81viqRfQR
VlH6owQ+rB8N2YojKgyyvDX64XbYmA+tqQ0jCWj4CImpq0MTqndVDUjwSwnBvqCMTCpxHdwUY509
FDkqudwZg20UN+FKUsJ6cM3mFeU/CRQTW5W6suqDDr3Fczg1OBntSTZVHJKqDoOPkSZQnAPicBtj
p5lmgrbTd756ufuUh+yNbVGGO3aF2Ypyx8/GRIBQIqiEvsH3FW3prh3cF48jyJBMV1A8TuyhXCpn
lIm01jd+4nvuj/YMZHUri0JKWtS3oTB2XaCJ3xHAmjtH18xTMwS/q8FGSsar9whoB0W505RVvAjq
gThKWGSEdzvlFppEuzbjqli55BvQLKUC8HEh9H0VlNIvNkbIUpRCsWn9Xfq1Gujis0Acs0SSHYy8
e3QDzv2hy+k28Cjkfzzcpcq9RbNFtyFZ+cY53CysK92g781wjXIeSBjccgIY1hW63k/aLe8dsHNR
G2cobls8M1S2/76ygFTDfxe13WkGXrwV6UfR/kL6iQsEAuw1dSXQiP6kv0SETkJBox738eVeqt5D
2EXsa1sg3N91DzxLAW7Ua2K1QvvkIGa5liF10o9HuXRTeYRzDRtMHmbbv6/UHoTd2jk9mLd2SJfM
/IdgHBYGefOfPL9LF2RjcwfCRGkumJuofzb+0qEtYDz0dJb6KiMJu/zu+uX3jy/nszHOLifGTeLy
tpLqZqrrya23tp+fPh7i4uRg/hk8HKYHSvu/ryMIEr+vTVXvJB+wa7AB5sEsC6rlXR9/jTRaLRUZ
LbdhbXX4YEKdPEjrs9bO+1cP/CxBAWQ96cFs0fz7d7Ch71h45ivC8lDxqlKBxzLS6ioDVbJHc16s
Pr7o9/eV8XCkQhByIJaev3sVeyt/lFa1y4uBVcodT+huvU/Wk/dzESgnvgSH+g42hTdH6h+d4SA0
1FSnGYJ4YAzLRpbxspTdFcry+JOpeGEkLsIHKEHI03v3ddDEMYl8fonzewa6a82RLM0HWSdPH9+2
C48JpIOpGzwrVi577mD9cUWuzFNwIF65m2IdK9GL5gNXS4tlXIlPHPPm+2bjTI/4n6HOmo0cVJEv
g2vatV1A9Q7bJtHDnlIL9H6EKHbF9Dg6NKYB1Yp6VdmU+PS6Et9c9q1roO5qndAC2poNZ+m8tqiC
5faUHhw/kQdlDdo+7KPpWmRsBu2qwEgWUjJmc6XWmYmX7+B12XDTly1lrLEFnMhZG3gCaplPLvSN
zfF3V5NWJsV9nRfAsN4BbbNs0qwAfMQOYKN6DiC33hid/2V03fgln1rv0GYZTZRMfKuRAm2gqnBw
Gty96+br2KE9Y1QyXZrtI0E2BR6ECCBX/kX2xC0LTpd5mVaYcHuKDrHlLUSdkPMb9tjd6s70Dlqi
tcsBiu6OBle/UsonCmFIkxXneO8qtdEyIHYVy4H1ehWE/XLyUHnb9G0D7papsXmcGv2HJ/rik4/W
hbkGJQ5NMEg4Etm8s7km8q6iDTtyXxKtueqMwNrz1IddmKC8WwzC6ncfT+73nV/LMr03ExLe0OC8
81uVAOF7maMJ9JW9p+iSrytQEFeuJdVW+KG6iqi/PNhxEB4/HvnC60tbG18qMHJok958K/54reoQ
KX3UusWOs+74tXN743tF0fcBy1Py+vFQFy6SLi+rEQce/jrvodMcYdNJAtgu70gTiDuDSj7lYGDz
SVHv3SZFZNzQZSPmyKRy9/HgF66TfRX2XJTUNlKCsy+Nl4akgZJUs2tmTEjVFw/hENLvTcb6H28D
sOXyPsGpxVLrOGd3lINgE5ZGMuNZ/OdxLPqV6WO9qLF4/uNpynYDwRTCKGQY71zAsilLyPFtRnOx
JVzYpfpiJbfkjroYyt1f//QG2rrFhZkgfmglnX+2wjiTJLpVXJaTWzvkj0VJI4HCbpNZ5HR/PNj7
F5DB2NqwNXDoap1/vioaxJHb5lyZZj9ElvZcTf6vZLAe0Gh/sgeZ3+W/10CGQp+D9dhkzXfMv1+A
3IrisdDoxs7mVouCSVA6GakH3USwenegVvHZbvTyiLjLkbHNL93558WWHiQwRqyMDtqXfClHiIQ1
wL8WTO4ias2rj+/m+7kP8he/4tuugxHPZqTTcO5QwktBrbYHAm520E1uY1f/ZJj3G5t5GDQyFiho
bub83/9YSjpfH+KYH73rNFN70LyCDLGBL+LHF/N+FWEUNMe4c0wd5MfZizxo5lAkiZHuaotjLce9
ZZa0v73CPSWVoqvmT0trLD9ZJU2cIe9mybxweI4DScc9N9xjNVMB+pd0FzgjpbAMXCSAm3S6HgJa
dW8ZIs1I7i85gnYaLT14jdS+dW+rUEvviS6D78i2aBqd6kvQpukqlJLNwbwtqEpoWGhj3MfA7F3Y
do3zyW9/8cEQlMOMgxfwzlJKXzLKKG+S4d7Tl0nGIDloA8WOjx/MxVmGrhI/d2AC4zl/keyKzwgZ
StDrPbh2ZbfTU+PB9/4x0AhpqkO0F6pKCMmcYf+eZg7pKETUFCxEg7ToZotoP7j6sPn4ai6tQC5b
AB+Hrovq62wyT4lugsfVUhQEDUFT3hwn7wBva5rsR5fY/3wXzZkRmSifDNvXMRz/fVG+It8F1UXK
2VH8mu9dHbunvBbPH1/VpZdnztwAoI6QzTyfxkODS2IqeXmy2PHv0hGenCGcX1Rcy00dOv7PPpPJ
HhVL88mn6tKaN0f8sq8OLhx6qJ/okWV3uItCE/Sl9jIl4UYmTzKZ7nkRPxnt0oTn2EPsm83J8p1a
MOMaPVdC3QIIkW5zMNSn3ky01cc38w1qdf7p4CYST2cbFjLns3U1aM2hdai77fy215/iSC83Gorj
hUisLqNA7/WPiUHSUluq7rYai/TGyTxri/nZghkrXbpLWJKNilD2rPdpyrZt8tnp1rh45z1O2LyZ
WMjONz61aHQH9h9fm8GmVqiqF0MFJVAdv9nHnv/cDlQnPFysV1lhxU9p3zV7As6/R7R1J1eqg+xz
e08VKVgQ2iAB5XIdH9/IC+8ajS22oLjlUFmefxAzj98Bw0u564vpl5wMtdEliipBHFs5vnw81oXb
ATyPF5sYA5Sy59sY0xhh/vuKrb0wfukUHPCW6S/NmBU7DA3JGs2w+mSHceGlMwzK9uxo+GK922LD
JhuHOiy5vMT5GsWhtjRp3VPMxKBjmWP1WNXE+9KS7Xb//FoNY6aisbMx3oECbUzOce035Y6z2g10
ohp5bnZClhwu8HDBVCJ0/eMRLz1Jbi1lABPfLUvZ38sY70qvGps0PE0Pq+VodLQmC0ud+irIdzk5
wJ+Md+GbwwWyh4LghXD1HDuXi9qO4pJbO3QhEm67Bi1akRFrIYv7b4aCMjb7OQkDP9/dSM+OVV5w
RDOI/Ltzsmpa1Hj0jnFrGJ8sX5fmKFkaTE+bZeWdDrhDF1NMVAZ2Td4+tFH56jjVQ9bw/OKwOpEO
+c+x/yxgmC5MsI1I1s9fQGOg4G42U0Gk9YTQx+u/1G29ktQBPjmFXViY0RZDIiPrgmTsYH6ef2wR
Ja5HuqkcAbPQecYFtPWn6uHjKfiWYX62Kv81xvmqrCVpYtuMgarXgDcWy0PjNM4Xs8XlJ7IeZsSb
Dayv5aqByvhY9rWHYoCGTeuTHNwbLZIoaM3LEo4ZyALDAHozZqT6qPoAMyA6mUE4LIuxE9+EJFgv
b1BocLodiSoPxT5yfNTaOoBpx6gR7CX08L5MQY7iojCadFPmTb3VuwpXaI9+7DbJdHaHZTyTd+P6
Nhq8aGvUzbjPHHRanRXl151Wdzs/DR7iMm2W3OF0k1MrqhcRaqEdCqV8UfaTXINYd1AMpv1VaVsE
y8VJu/n49l6am3zFyVTFQkGf4myXR+pxBVKSuYlW8KUa1AuZobe2pW2AfK/BUJf/xWvHnpvNHuV7
lPFn4zkR4ZpYFIsdXsK55nQDM3ffq+KTzev7kh/JTtgnKPxRI3gXfGEPaQSaIih2KElPUsb4bXv/
Z5U+0om6piu9bB3ze1gXnxyZrMvjUqXljnK4Pt+QBTKvctk71ETKcfoaDVgT/drWTqjd9WxN45wz
TuXkYq3SrlplBUohrcVH6lZmt3eQ+jpJr+0tvdU2hoL8LFCHMeHkFuMHbawg+eEYHQf1AT1Q6k3h
KlCQYOPOm1ahIe6x2+IpnpxqkarEThdqkuE64fdZqUy+Ivw27hI/m7Zy6KsNji7+fT45kDRUsvY0
z3yqLGDiH8+wS2u6azHHAvwIPJD5lv2xRkC9cHLw3cVOVy8jlonF2MPQM4BQfTzOpbXoj3HON0bY
IfOsDKAv+k6mLwvqDcsc9t/Hg1z6ILoW0XOOSb/NPY+N0StTlpVdFzuaTv5ydIoFh/HnMsXWGzXj
J6azi4NRr+TMMkeVnR8i3JrFqCDcERGOm3MSnbadLTfIwBBUqviT23dpIXAp+/O1wLL3bvObjaPl
JkgpdrB4T2bjuUtDjM9lVr+qGPNW5H5yJ99jj+dAIU5JHGDxUr1LL5oamXF/2acl4GCwepjGwZ/q
fm9Si1+Vlgb/VVZqOcjA+hLrApd1iLI5LOPi2g99kG+lPUIUGHmjGhGCRPn4SV+atjxnuAuUdWYf
z9/Tth9EA2aObU5fyVcrCJ8is7vPLJrJ/8U4BF+idse99m5z0HSEq0tEOTtOopJqjnopRq1flW39
yYf00raV4hTuNX3+m3f2Hlo98HCBAGunEI5HDTq3vjjVpXNIfOM2K6sHkmA/KVRcmsB/DHl+tE8m
O0Ooo+c7rScoty1fAztD4eoe6rL75MxhXZq/nEhpkrF95Cx8VkZQvW/LafBylhlz/E4Ay+8+DsiH
yQx/Sfk2XOKzhvzGiryOq1lwrBmzPKtG+RN0zbNNUeVZVH6za01ky1hbMBtEqr4Pp4D4lyLLQDM0
/mbwev/Jd1g1F27RzDicZljB8aG0WZq/ddJB1h4A+EHq3zH1kyHhyLViyxf7HZEooxWvW4j69xCc
HT72IIM+nk2X7kIwO3UpcTBvzxuwWSabpkCkvJvktMeljU9dt58d6RypmT5DtviMDn7pEc/2DByD
HsXW89suEyMcKzZDu7gKNMQxLek7E6dfyFwiE6RFI0z9x5fId312GxNsx8797EwCoNKHuWhluzlY
YR3Vo3tdROzQxqRsnpPamHbokH58POabXuNsE4r2BjSMySvK0fZsdoXamNGZzfKdC8VtGfWte29H
BG0X1ugcozLLnqSZ+6tkTkx+0yn7kcqe8hbupEJLtNUgqn0KI79QxESVQNVnXrUJtD9bosLBmQiO
541uJoGezQrtDao0a9MIyDGEbhIl7TrIp5xsHYR1BK2kSZFf28bq47vznhDv27MvHDkGkZw02s5+
ER1phJurOMe3nFi0RmZxc2xl0wmBZeEceVzeXiVIEvFZNIswo4hsaDl91LiOurve6vXNOAr9awTX
fWmqSf/KtrjYRj1TCttEukHZQyh0G72OKDJZsru17SbRGsGgvaqBTewiFyjTELXeyg+PBCJZ96lV
DLe8tjhRSOadniO/DQ6Z7n3T2zH95GB+4VvBJ9PHg+7NHfrzwhHltiRrCEDYeVk63Ef4c+EaD/Fz
bBAp8fG9vjQU6ku0BrjR+WzMu6A/dlM0naoqnz9LQWlFK1n5s6WHhN0DCdfh88djvT2381k/V38t
Tq98Bs+P/4XmZm2fxxwOOoegXcBkI46PyTa2QpbdqiCA8GiUurhTg9nfmKYWnkylBUtyROWWNND6
31vJ/49v+ATfgIcYQsL/oARWL+rlf72+kZNvXvLX//O/5zTe3Usumyj+m4L8//7P/2CQ9X/NmGHq
ttStmFn/QTiY/3I4LLGaModRssw5vf8hYkHTnHszaJJmquZbRuh/iFjmv/CT8cfpN781b/4RA/nd
7n1mOFAdmavlfE7O97q25g5h5XvTLi2caGlNnO1NN/zk0/Hu5ZkHQTdGF5frfHcqJIRKkyDigR+k
Jq5KD6RS5OESxsOl1n/c/7t/vyR/BmLPu6m/Xh2G4ggKD8Nmq/CuvVqSWFclId6koYtxf2RxeqSV
TpQIOX/I8mO1Q1mmbYfJsbE/juUnw7+7nfRrSFRlPZrLd8Z509rMJt/pXbPaJUX/gPv42ccK+PEV
Min+vsJ5CIfWUIAJ/H3voa61sdWFUe0co38YHOsJFxa1cboFSEar148Ho+X4fjjauTDb2CS/7Zb/
XviILLLdIWiand1b1SFMc4OcokDLD6kDmzDr7Edb9OQZ2WE1ZxtZZYI/AydCvcjf8o8AicYLzwxh
Pkakse1hzZOV1MHCqOBRzhlKzVueklkZkp0aKUs1jNW9meQWOfX9Nuwa9buwfTxvtdJNLISBXGpj
0OZ4yAvrJqraYGVFqbVq9XF4GhNRX8Vu2IfUhGchKiAkRLUOi3Q8ekDVEBKdRFg6t44q0i/uDETr
bJhtbajCm7bDcQ69UKzmKKYFhNlqA/ps2qd+eN0mGqSiPP9tg18rY/unO/knVUO76pH0HaQ+fA/J
sWOIxMVAxs/MMWGuUjlV27SaE/IKA11s0r/WUQD3J4luKQ1qq5gw2bVt5u0aQKl7MwyQWQPNFQcz
tJ48zRCHJIqJAGk8ORsTXi1XCwjna+LVaCTJDfjy8EG5dkbPFqpq0IUrj9CsxdCLDpFXJtaJPkTX
ReMs2wjEmPDH/uiEupuu+1pT40xqxEsKgbEdNnEJErvySGKNUMUtTT/2ruSb2rmQhjA2xVDX7qNd
eNpzlHb1bVEa/Bx/GMwH2mHdMavjdodOgOIgSSD5wqyc6IiBub6GqOesMRFRcesDpkheJXdViZMp
6fEvdGNrbro405/sMiWtpquGpRbFZvutjfUK/Kg+GlcawqWHeMZXFzGOOeHm9govNIlNfWwE+4no
sCshovokp6K+y+vmSgSj9Q3Ng3qwW4vWjRYZ17C7XTSDzIVqAmnQqmLYFrn1LUprB+NF3IabxLOG
nd3EAZYr8hvIlqlnV195N4famU07XocDCNJlIDN9g+Gh+la6Dp6iGMjZwhiceFsHdnuMBTl/Yorg
xXkNMEGrhH6qKKYGRvg9adNoz//2TMkdfreoOLv0Jzmm9LoaMLpdQrBXXsA5aKAWx1HXLLo27E+a
wKJgWjHHJJ2wpDFH6OTIpjqObAjIMw+d8jYfafozowGBLJDq6ydLVONLo5X6MuOlucIDpsFPcM2t
NQQRYDsooquEatEmFZW3qvSK0cJ0NkwFGj6I0hzERshoPAyaL775qaJC5hMaHQrRHweivOARQFJz
MQMRyoiZJ09zrEM21CxbtIBynZRQd6wsh8mMZkeI5W9E4gZP9BwSMLoxinAverGE9RwY00h2jNK/
0MrSd2ZnfcfgdIVMMcTjD/sMwDHvNiI+ZZct7uW0Xkx4UVaix21WYQ1cYre+1ppKomQQ2aqopl9x
6Dc+cPYUyL4Iu73QwpatsH4axnajBlTyaOggxOGf307k2S05LFePtaF5OctTr7Hhq7ExgUl/aTqk
fGUk3XUzbMjftB4cR5IIYKR1sS+8rrlrNWm9cHrw93HeW1vdiCDvzvjZKGp5Qg7n5RuRpQowP5zD
x9LwsysWpGlvDEG/AGf7rS6prpuBry16X5TLTApz1ejRVYj9N+IDsMg7vVOLMMxBuORGcdPk/j7r
zEfCc0FLCqNYhn59IGRRW02TJlYi1fxrLK6UIgMACVWz9lrTfsGeLn8krdXdSujVAambvHssCe5t
PELdhfmU7QlWRe/t4x+hMt5/BU6GvZdsKVaSIBnxqLu8QMj7h+R3ALX32cA9/UBSrX2yJnzqVhYY
SyPLkwZOWgZSP4vU2i2YXwZb9V95Pmq3KSoEbnNBlKaXPDnkKu7GIC6zZYWPA8vqYC8TtAzrzK+y
bTt59lVGxAA0FTl1tzmcgB3qhhkI4f2kgYsjsiMtclUJJ9n7ie/R8oFxUjhxvq5Ne4TBMcY7Krbm
2nCDCMFeSZQaHeido/4ve+exXDeSretXuXHnqIA3gzs429F7iiVpgpBICd4lEgkknv5+uanqFll9
pKh5D7oUalJ7w2au9a/fBMFNWDDWR4KcfY6DPdFq+qTWOZdf5csHh5Vr52KHhRG1rh+9OHMwE3B6
0hZk5eK5F+5DZsR/QtHzPy+4X16HIlz/HFtvR8AqOq4Sj5XryenloWoYKUgdlad+RXRlHfKQsXl+
b6vR3aSDqA5hlo5n7I/zmULSiSTqGAUonWMwoGtCAo9b/X+L/N8U+bTOxjz+X35hfyvyz9oXQu2Y
j79W/mcv/+///vg3P8r72P8DgiIlPDRCRo1GRfCjwo9jTNpgqJNVdKzvf0o58Z0/yJ4DKYJ16FBc
GUj7R4XvRX9E/MD8M1JJCEKJ/4lLm3+kdL+piUFTOQrKb6yJDK79toRD3pYXaw5fGs0+9s5DTS4q
fiQZMnqbxKJ8xe8bybZet+NkqXlbZa5zGeaiQa6Q+ssWq+xqn9qFeokmp8FJfmk/J2iIOlSLVYYU
jQTq3dKl8tC0a4stDQHYNDfujSjmUG5KJTxc0WsYZVWJDfaeGA1mJ2H8EEGtvxekvN7Y6kvTCeZw
Y149SWWLT7wwykLAULfrSWX3yxfyKYiDJDAW4pjlZW66Y86EisGTUVbt+3CovuZo7dkbRENInnZF
uu9cXZxVWHaPTCyTCYkMpOMD5fPq7wLhxuh+OxCercAin7SLuPROhiRfscPI0/zSKymE9tDwC6Nf
qgk3wu+9e+7Hvv/USXslZFLb24nAzguSXOZndOPtJ6JKyURVcaYvirka7jS2TF/c3HVJWHK7TYPT
vJqMWc+Eg+xSxPP1GizdbQDZjjlmTIDLRsOSP6mXorqOvWa580muNAYYOz12Z1E0o68fiHNS7cT8
ytcns1tEtwb8wtXRa54XtEAbb2niW4hS/VkKE/7B0/NIUtg47v1Ze6fp2jv1prWq9hyDqggf8HW6
iJeZhJh1dIZztWIUb0qJhJomGKLL2G7cdkvnUT95TT89TMS6bcrJmVe0/Mr5WERV+lFa/XLGEG7Y
t21iXc4r/rkSc3e06NrfAuyvl2vmTH/W0N8HvKAagd2sGC7yOFbfE4F4GTtbaVW7sfbzG+W39b4f
4JIQ7ZUgWgWYVFe1tQiTMzVVXwbcX/fZuAzBSVaQjLyhWxg/I74FMp5TUgtwlvIycndIjT7ldSnu
877y/nSzprhL1oBvg+kjHpzeLQ/TkPsXDoYmNrTRLof/K7Nxo7t+50o1nM4wMO6zvCEqtimXT1ab
iXPMtJJvs5gjcQjtJqMu8ZBl7udhSO7JW8DHYZRZZ32kGQ1vc2TO1UbFqdVi67xWz7DvIThNuD/v
M3ttdlgzOVvsHdpH7mP1YXbG/DZayvFqdHR+HglXJXunm4fLPG39nYXGtMFbq+weY28wuh7ZQf8e
+Dmu0v7VoPyp2+PD21+XFLrFuJkb3nKUxhgCkKiTYYFkFAggE/15ogqbP7rWoeoy0gxdhvdjlyx2
fdnaNurkDRbtciW+ecJqQWGTc69nnADOc0LGsdQJb52YZNfej6CMegXuD1iFPCw1bw810lR/wkZb
k9iSqnoXTX4ybqvexeuC7IOHaQpQJ+vCkVtJUs42bwv72u+b5VIGYX5CVkeA5fNIyDAxP+S6EbQW
exOPIu/LfTou5KPSEtUflnT2mstwknZ5GxXjWicIHNbJfvDXEc9qiMhhG5BRM1in8ySekNhTSVdx
Uu0W4c1nnlDnSPzDq67vxUnDZr6rFzOvZWhwN3SxezaV2Ld1MH2waBjru1l44r6eywXJdVkcUjy4
91HPjfTCZMPAgkTWIb9uSt6PRpLlJnE2LqGAFXySZ+FSEKXDPincT3hYk3pTWucIhTfT0NkbcKSR
j7Fwe8KP9SnHgvksHUW3dbgsWPrE401h+5+Sqc/wC/OSfTcr66pcnZToTlZr0IE/W0f2BC2k3GT9
IkaaiJVrmEr7oixcWj6HPIWDPeYfFi9vMWvonuJIR2c4tj0H3LH9Urj3+AYluxQ0PfPETTiX5a0c
2o/4NeATpC+iQtsHUiMeVEGGb7MQeD/butnYc6V2blvjzDgtREKgyTJ23RR4kxqHaEM3dIWr1ngu
vPFCAmAfMMhQNDTK3zmjhrzNzNLeReRKnYsMshCn16+f8mUcr5Jl9g8oKzYuj9FFyN2+tDO8bG1G
+ffYuHcn9DF0TeDOW6m79VqLtGQWgv0cxiZBfzdondx7CLryHUhQfVeh2b8JE/ESYfl8XhWZc7E2
yYAl1hwTUh4sjllmB6vZkFedPUa2yHZQLEgqXgJ3vxZjQw5dpq/rBamxVo74sKKPIJPBH6/dpLgL
hDXwSkBkFkqN142oyMIDf39QdZreBW6KJRkOcNhn23rncZuS1J53levlxKGnX5CqDHduH8237pIs
FwVC9vuwSNqHaQZ0kF54PkZNi66HRwfjoj+DMQezsPhPXi7pFu5vt3Or6Hle1HgfW0m0XadFHzy9
JgdgmPp7SJrD9TrvMcWfLmcJfMwMAd9h1hjrspQFBhs4Tw/3QY098xC11YUXdd42SN3+JFnG/NnH
MRLXsW4ct1E13fMQ1tdJZ9e35H2YQV0Y7YtwHXfw+m4jf/RxPC7FWbN63m0Nw3NnTbq/CdDKBEqE
+8GxqgdE8+4GozqmZniLHEZ4KpgbUxagKVRU+Y4ftQdduHRBBDWeOL0oLiwVJufBOOvTFrubM0yV
yNOo1vDMqp3wx9Tlv3Xyb+pkVi73l2D4n1jOF232c53849/8FQ5xzIECdguBwW32a8ruH4UycKlx
Jsa8iZL3tYT+NxJu1DL/in/wqF7/QsJtkw0B4cdmBGQfqfL/IDLqHXSLUyitGjxnuHtw6pLjsO2n
CU86zU4RpMN8PTUv2YiLZP31p67hP0DT75DUv32BAXZ/+gKxoGDsF74gJm0O8vJmSr4U6rpgrtm8
/PqrjnSun0p+O4ZOAv5sJkh4jv5NLa6d0WH8iD1kGdQYKPbMyxlZkDGIGxFY5OfxGLGSY4Yv7RP7
NYOlqwNNIgv6lyFrXjq2vSi7ySY/Z0hykgpcDjWKfSbqdlw0l5PALt2/sEMG3jUIbioeY1ziLkJM
FtNHPcgDWW/BOQwnuE9DVxYEF6cDlEu3dbNN7ImAukKxzVGcKC+RuJs0eCs8oBjMlMD2q1URC23H
0BlcTbsYaEzuuXD64gOp09NFnQ4TC5qRbx8akEOvuYgk5kwBFmrXMUa+82fwLmL9LAq+TSxdsUXC
6Xs3vsVGfVHKJLceZtsqyGbFdCZNrH4rqxJ/MDAKUfwg7v931fjdqoHMjTf2f++uH3Dlyf/P7kvV
yTctNmMv8w9/LB0JsTII3IkL5cVkFmHYB38tHWZVoX8mLJScGLhub6ZoR3nYT6vKX0uH+4cPCRIn
A0Mns82g5h8sHbwqb6ckSBRhptmsaSFjWyNafPtuJ/bYyjQdrAvfd9Qd05Rmv/p47jT1WlEYonqx
6bLvUUQToN75695RGjtHJ6YSqbr5UZMBQtgC9h7OIOPTqrBVgP6hbFECO6CrZHbtK5ndZ70HYASH
L/VFvfX99mmeqtvZ9eWmmrN4a5nsdSSny5b8gIRRhEHW/AocdvBr90G2ZIH1vcuLQ1rTNfnl4yNx
MPlmjKS/05OoXyimNjr2PhAZ8B3V7LDBKvJOJ1rel6DVJ8Mc+O2GZLHmnsTg6bzrY6DnKAeOXMiH
O1HeWuzKmgw4jSfgWYNl9r4sVwkYmSYHOU4eYuRuDXcZl/NahMjQNrifpTu1LEzoomUg6FHbJK6t
trD3du+nFGJDcGmL+JQci/veZtDlycS5airnok0XGqElmTYZr/i+ykF4hyFOD9LuG3pMv9vHrSOw
7q7mDZjhFlRbbLlZzcUq/eoQBVZE5k5J3mWXsiL7UX9Y3GxpsZ5ivIcN75LtMcN+GIJ22M06f0q0
436YmyA8QweiPrUO9lI5rqM7W3tdet0LTVIbdqEFdolm3mBf4EborQ+t8Kpq2hdzF1vPVb040boh
r9taD1M4lsSvtN24bu0ACTNGcXKQG1YzfT94bXydZIltQZ4egDsEs5H5pHFHcepGAYF/TUs6WEFZ
dLM0rby3ImlLOiqryeUmXkdPbWRWBJdRJext6YAq4Ei4WnBUFVRqmni/urZ0geXjzmqWJVtPiOxY
BQObsi6sHLs3nIUiujBPjSTf9moB4zmP0laGgDRuGtyLlb6moq/tCjjjTOk6Uc53qayak/Z1E/Ei
rJLmA0Z19rSe+Gsv5H0yahMJNh/zwSylQ8LCEFrURIfRopsgMQwMjrliVXiMGZuLFtzggDEtCWSO
CSPrTCzZfEwo08e0MveYXMaKTyAPs/UUji/DxX2BNvsJPzXjgXRMP5MmCK0ydcWmTQYMDbOBpJLB
Te/bOmcfAOIDPiirPn/CPtnkq5XadbaNiV3DUiNUB+JdSGMDNiATxZFte65NXFtngtuKNSLDbTZx
biI1yW6eCXmrjnlvgYl+A2ugvTRxcIMJhgtNRJxUhMWFx9w4DoDIFdi7oM/Eyi0mYA5pbX8bjqJ9
IjUGEXR0zKLzj7l06FYE41LC6nITWxf3EQl2wWjS7DJJsJ1j4WGxsU3cnTwm35WBScFzjhMJe5T3
kwnJQ6ye4bTo46SmgpukxIw2PYbqHfP1BhO1d1zl/7sh/mZDRKHF5vG/74f/U2ON+2YnfP0Xf9XQ
bvIHvFhIFEYc/PNGSDnNHkmtDGKMyT5w77/YJJHzB0wifh0lUQCFz2yRPzbCgB8FNhQjD4j6iF//
k43Qe0uNM4fjoFhC2W48kSjL39W4xGrppmGs9C231778Xjdr6tm7GXrmIHGmwP7wqTQsjMOoqYa3
46iD4HnhSWtBrgJewUNvMQwFuoutjiRQGmLc/eK6YvoibLK19Fb4Pb6H+NEtGQCx8tSACbBXT3r1
dug0RvcG2UVP3mhm99b8IZfG6Rhtc2YchJkrwUABGAqwuh2zYgiw5iyxRNzWs5ltHlpVYt+MXzpA
m/Ub1c47mx4/NLInF/Y6/6PSdN9fnW4MnU6Oa/CtH2eV1Jsmi3JjDOKDEVwlwK185eIUbfN9CEWh
Hyl3Eg7NzSfB+bTOnC0ffnq2/kNPcuSJ/rtR4JDgy8Cdw58jIJuPWuht4RKV7kJ2tMheWFGD6qr3
iwyXXn8axuIkt0Ig7E0TFblTbqocb8FNVUJ6izal3XfVl24Z9UCFMMGigOOnmFHu1zRbp91aL9yK
vZRrvj7lIsSfdx+u1RBerysLb75vEh/rODDmcYqSza9P6m0n5xP4a55BCEUUYoaOS5v5c6OFZ9xS
WGR+f7NnS4cPQVtY3X1Tp916++sveks2Ml8EIdZQflHVcPHe86w1HUtCRG76wlQI4SCUz7TyGcDa
vOGLF5X+zTzinkZBAwHFktveySJ1XxVBW37/9ZEwYvqJFHQ8Ekb6+EqYMVT4N5k1U0+NuVoZvqgx
FuF10OsSMFc0lhd559kYrkH4m4v8/hshjRmfJztEFglt7D0BuUW7BJop809V58IGKhroHh9I73TF
pTvK37DM399Rsl8CiHBIkFEMmpCUt3cUz4msyKFYf1YDSuenoIxETCpb2WvR/ua8DKbx86Xk0w2h
loEx6lZu8HsqdzYDfNctw/R2lNhxppODWd0hK8nKCy6Kcp56D7v8teGPyGJewXAfb7GnspSBiDf9
EteEnzWuZ96MfsaLvcNR3/fVo41kFeFqlGf6Oe/KnAfCXyybOxPLsCvyMxWHE+Smqkn5bWU5ZLNv
rIp2CLW3Bf+UPbsxGH3s4N05nFkQZHR9aDsch69+/Ti9u95cA0RDeE/APUXHlby/BkGQyaQJp+XD
1JS5IbF0mQWiiyytXp9+/VUGv3l7vRmOGuEWOxb6AaTVb+/t3EFe6R0/fYz97vhdU9CH18i0Kk51
YkbTebvXp7pm++MqtEu7DP3hx9+EwsS22Fq08sHHAA7bCB3cqfsOpk4zolM8s6qSMvtyhMASYpmO
AdZ8oknk4IWt2jQlZ3hF16MOBQblmEm3rs75w8JWKix3a2yv/Ex1jbnhK0h98BH7Xta7aJjNFytn
jtjbrCA3d7J0jobUkRrMfZeicFnrxrl0Oe7p+OySJBKyIqSpHPhA7ZA/3Z39+pIe1VD/XtRNtg8l
AnYvtiFcGsuSt5d04AxwEenT51p50cdStIF7cAs3OA2ruPdNDDRpgv6SXOgYfhiTmxThnFvVT4qA
C4yZkcaeJGPmwf7ReMuHuRw+YBjnjbf1AhFim8fKPS2S8g4alf2sII/0SKKtHG5FlIU3kJa7i9wu
xitbZ0RKQ5yGmmONpffnGsW9Ok/hTAWbvkZ8tUtRjD5Zq0WnKeslZ2yWiFsfUkl18GvLu4ow2d/J
Xg97hhb1U85w8Jw+sMghU8gghlgxN+VWOvVnK+qCC4SgMAWndbCdHbSt6NHt4vlLn3foPlIR5meE
CIzjiVu27eMcedNT4XnkWsaEl7Q7Swf9p2pKxhfSdMQD1vPjNwIiJqRSU3loHZ/wyhY+1rJdcMe3
aBcbdV633Z7kEGQmcV6Wf05xSGxlnOKQjOVo97iWU7dDpofNVmtZ/hbt4p0vtf2V6M/xM12g/yFn
CLbNFxCAKhqLvV/o4jeCoLeLNQ+EEX5Cu0OrwPgker9RdU5WRUOQtS/cr+U2cVMG+mHdyZLbZoe/
qSnevtCvX4aTEqUOShjIxe8Wa2brbcQ4t30J7ahh913sR6cFYtzgnnClfLIet0vWNXdT6UXVb0qs
twvX8bs5TXZBLN0NJvRuMZlMIkYFnfNlaAm/JhWir5ZD4zmUlL9+x46f9OYdg7WBpRkGIIlBjU1R
/3ORsbhN5Srya1/IuuSd8Vy2CyJGG6fYYRMT3bdEfdwXY4rVg43ndr/zVF/UJ6ogo2epJQUVZXB4
I0KRnLfWEH1gv2VsiA2VfGqa0UWP0SK6cKXj39mqbL83kxdftr0V3SlXu38m5SRwjO5gAQJqZDde
g5fOBsJaeBvO1VzvISsFp7ZI9EvZZXJbDpM4OBkmDfYive3K/fuNDd678paLb8oAF+AORjV79PuS
ALbcuPixXl9QjXPx88LLT+AD16e43n5pnaT+5BEav5vIc6k3g7DCU79Fyrn79Z0JzJV/c2cwgAPJ
B8kmTJFt/N0z4FRpswQZ7tA4ANfVtm4FtuMoMBMct+tV7pTfLKdRQ2DOhrj25r7puuYUB+vkSvUh
OBY5CdbN6mT+qbeSNhgAXH1uCtkGGAhaV7Ti0aX29EnrNd4jUbz1TWeZpIEwHbD+XeVSXc1IotJt
1CfRPSIP1R1mv/iuw7K49qK+gM4igtMi6/qbJpC13HXpOH3VuL5/QOlV3VltzAYRLo6JJpAzgcSi
yB6NV1JJkq3NCRCJmmyUxI2cyK2hxCeJPfHBD6z4ssgJqXDmoU0hcGIh/5vH3ly799fWh0KEFotB
zd/EozBnjCdclL4MhR9cG0vop77wtN7B4cP0cG5Zl399O523LSVPVWTaHKINmWZQ3L4XwzAbqkXD
1vmt7Ev/HKdFxrHppK2LhBDZw2zzLu28IBMvvWfXTwX2j5eE1Nh3lkq8w6+P5Sg3e3v6lJosn0iD
I3rc925GAtxvjHGw/pYB/sEGATT83IkV5/ABzu1msBmuMPHHcgX0zsn1rszD4JTU2QJSy5wk27AD
l9uJLow+MoA27jaazqi1xvyqCkkAHDzCQsIpz86yAI/dDXRsd97g9gusm/V2g8jLOOHE6CD7E4vL
cigraV3B1CTAJZsj6zIcc32rmZTD6A2K/oBHJhHAnVNUl00Hmgh3qsFjHwc6YEM1E2Gm/LJ+wnFB
76lFxgeJMRje5bUnMObAmpwnsSRDOURQfkvABabcUdl1y6ZbJDBrCIUf//eI/I0elcCmK/qQjpVk
YucMscGMQ0OYMcsVXfFxamdJoJILWDhi6/u77Ma3az89EPNeY9WKLMZY9LxfkS0nowLAGOi5nmDr
6t2ge1O0qnhN/6H80vRbPIi+g7MIWMzfjSbdoq2rvgjcF+L+iPj+RhILe8FZeqwMs24wTV+tw2lK
9r9+BP9+knS1KA9DnsEAGMhsvj8NEUk7HkVSVuPzYid4tG1KzOHVfYqPP9Xyr7/qnVLcnCTeFGg/
Qsx8gZPel5HcZQcbI7d5oeYKmoiKL20/YJcBarKFdJdm/c2SrKndXHZkcoX2PlB5tT6VY9RT2jY1
EA0s4TJtkjsQ9sjzt7lq3RqP/0zE+nSafb8Rp78+6LcLlHkIYpBdynzuDsru9wUANWLsLq7dPrda
Co5CWElVfleOpm5nnQ9pJrAl7eTv6gHn7zcm4a7Ar2SdwiXoPZCSEimx9CKwvq6B5bjrFgu8gtQ/
6t0c4N0hu3qsT2ncq4jwshr9wG4QQtDuEYTpqseiWWfavTxeVvk1g6eVHLw2hGgTNNqnpfnNVYrf
VoQ++qQwCo6vCftkDNT99jkKsrkXzSS6r4S/ozGF+6jlektpaxrrVdv4mdIC9GN4bXlpwds0tkyb
rG0bak1Lk5DCrZ95AJsSFglONQaQO7ZPyvGZHL1CQmSTg3fAKMrCjyOkM3LoFCk+PKkkoBHEsGmF
DGmeGLUo7kjepAY0YjHMTffGmDe+S/NeLp/w+wPU3AzwbLgWgN2mG7bXIhzKg+sPAe/3QMrnctuH
ftl8C+fJKSBBynRcb3n9k+AjPjQ8mmLtSno7x8QMYNnWTs5HIo56Qm8m4nPXp1V6Ea23GEJ1z4i8
5nfztmQF2RDu0HHP3BwHD6J5cLuskK4wNTG9HN5QnIxJBcjhM+UtXLPNj6YvJJebXynCaGzCk0At
ubyTc9QAr+lhKcEARkF0uyZTPeGrCRJI+PXVm823WZmmFfaSqhg+DTCY1CnIwFBc1X4bw/t0xqW9
yAf0YOfTMi08S0ucmpWvUIWjL2I1mn7aTqVB8RiKubxtjOskxSVpxH1FOsXrCQSlNC0vzUFCy2vb
qcUFDWw64QvmX2YRq9kILMx0xzTkjyLqNU3X2FclSaevnzH0gyX2XpEGRb7lkSNsfOPlWKKwIQKd
8NULfsTlOVMyzil7vap+Vc1cuSCGaGdM2GVenZM/NwGqEPFkvtFjWl9+131qmuZekwWldyz05nHp
EgmO5lUdOV37Mg3L5r41kcTRofSMNG/TE6LHO6XaJOGpyVwB83TrLTYfyNbkpNFBZrKKvXPLXwr9
PDSL4hp2C9IbAjhZGHF2iWs7NDBANIHrnKUoF+j5s7U1aDLTNLw7djoEv+YkyqQPl6vBS1Wb7TvE
SBxx5CpWgb1YPcXJMC4zz6/wBp+/ZXA3PXWejApR9a7T0J3kjqYo5m9WJiP2LuF2kkPSnD3/5zyV
5lj8BAvAcIsVDq+gjoeKJwXhZuifKvAVDq9sitggyamyq+J6RK4IxjH5/GWbwGbmsEo/Mdd4UA1X
cFpmgnM2axyZZ64GlPZPS4mXVXTIbONNsjVgv3okfI7/DshVeIGjkj74GjB7BUbx54L3XAu9msUj
r4CGy8ET5pX2E/OhwvYd7gQEtYk/ZO946jEqKoBDWKpRP+pTtdhjiUETnBU+cBCj4PjWbDSA2OIV
BWFNfZWsDvk/cR0sYlfaj0keFInaARsSEYXzTJ2TeRja1gG1EYPyg4S059s7nu2aMbuy+/U2IDKS
xx+QiPZxnzQzNi8UCnMXXodBoGA157YkjYrSDsDvpnPyIiUGrJzMHW4LpW3nAKsA95CzYiRkiQwg
MUC+BVMZR2u+qNIR0e5pao3cm8GPiUP70mLGwMm0aamz7iFphtRvrzvDsI23oV349GosxCw3e+ll
JSTYrJ+6BHYwk4SFSb8byvw0ZeRuJGZxxTIbPq9zYPn5hsVWc85JCduNylvkS55nl1WXTzjhS2Sb
5uEpSrOkRHLWlIuVRocGIXVaRp6h1CuGKrvoVuLC+sPgqkk48NE9lspxaA2UxpDdoWhcbMuZhuvR
aFvLA8PWibsEIGLgrQ6+Op+VDLZZBScuPk+uXZBDqw627Gd+k6GKQbskcZmsS5WtoLUnEshU8oSg
aqs2vY/F7XwhmX6G14qryLvguHLkgVKDgBx/xt0fQGBjnfGkxzUs6uwCUcPEV/sOGbP9geWS7Ujp
3kCGTUogAY49fm02WUl4C4/jEgZFZ7EpC836oOPc8m8WiK7I9liiAFpxviFSaB93okNW1rimxLKt
udLPTTwwH/kxGWHVNxdnpqDG0qQSrKrJPsvL2bNgCq+rAAGKvQwN0kzynm9P6fBAe8jJFx2bPzW3
BjXsDxGuU1ylrskjXuxyWgH4T+NiMlfwx2PdFLP5mfY76CHbtUC5HG5oI8xyP6KKW58ci6fS23uR
SASJTpooHN5PKysMwBynmFhsZpIR+mu3YNndwS8XkiJ+dXT4mcCjWjzYzVI/0tglJc+QIPn2PGx7
hQSpU1P/3DfsMRciayz/KuVI0QO2fUEUKGvueqgI3KtfaCFWQScdNuLLDAt0vlkTq7Y3s1XL7qL3
grnHkaskYLjfDjCax+mAv3asrsWQpwv5z43dOJdezba6h5OmIMNzjwSL/BIPxmqhVQJuc7ZUypT0
+BUBIfiRrt1k06NLkJ8S15n8h7CW2s8AO/xqsTYYCeu02/QJ548YhIgskolydrIaZ+F6Jq4wARGw
xSF1V0D7hZdj2oSSBh6qT39QSZR5u4ACbX3MSjfv2PhCGZ2PWk/xxvMlnAANENHpTZjJETpr50bk
BWI2hO8ZkuPTyPUkHDZ7Xi/SBDL9iTOTf4aUcnGg1ePvS3xYDgJq3fZV1/gfpnHAGf/E7iOoDjho
Y373uMjFk+gZZWvd+0QIrk+S2HR0hCIMIRxH8Na7TS3DSPQnMcAHSTc2IWjhLlmAP07SQpbLYSXF
tUHNWXWeC1wg1nGIvzpNGbcvOdZaaiFoTOrhWwI5YJq2U9R30cb1xgB6oEzbAaB1quwA3U7aWBVp
mk5kVbB9QnC9Ov+Wx7hTIvQj6g+R5M4JpF7RwnmSuKtr4XIy5e2P6tvWdRo69+Tkdh3Uv64wG2rf
ICsJPszgr72/69NZpIp6ygbCONUqCqjGYEbzwgg0oTz/rSVKKijhLcpsK2SnmZebHHuz17KB8zrk
fmhWuCawTYVJEHXqpIcStiCgCSdGuMLFOmQWJWmQD4qtJ8ibkl0GnCdz1xMdRXzmYQo6U/2hMTad
Q0QjzNFqH8uz5GQamiL8GOBGxKE4AHOVcTeSTD/7aQhYJoNxpLKPK4urdIKTC1UwcIWpohM996xl
Je4ALHrY/aUzeziCCHuvnDZcvdPEd8mNO22JOWBNISrZ5kSpSzDa3wZBQ6jCGeZHLnv0DDOO0mTW
CROFQ99GZueMX4cTAhiM756iNerWB+UHAz/r0mThw+yyQ06xGYNOcPwwOM06WQFr8Ctu6SQcUZv2
oyO+AOaaehX1BauNKycRfiUvp+0OoVtGLdpVdDPOQfa9qaXaPjIlS55Ic41k14bS+T5ZUPuT3Vw7
4JvGnIhJ5oZ8ViITNwloGJefNVybEuk4gA7HxuxSP3YwH46VekT8a2aoYYL3JaQbDy2Nte0zv0zI
AEMABNtgImsXGJ59hSOYRjIU8RT+cSXWgVdow/BupSKN2pxP7BqIQP6ucgi4RJ9gIVogptqmDrgP
GsIMP9YC4BxiubmNbJiO80T7N8nHeEgXztgrW4d7NI0qcsR1m1Vqzm+JOwUk+6SqKCgRkvZh1swM
HYJQPa6wFzkrMEMzDhdiUgz98JozRYUty4ISfEawxqYYhwMPC0PE0Fm2xWzjkLrzK5cqBd2bqeYV
JC1ARLvPRhXfrjJ3u+IyJHaK49Grb94DzxNmWqZQQSkksL55RVDdmxF8Cxg87lOF1v4LszJa42Jw
zAPmpVMxuCeDG5Exusted9dcKYRMuC/PFKrIGXqqwNATpt6UoXkeSWApqaxtrkD5PV3RCWgTCGF+
m6qE8Mq5jiO2SyfnuFyi9CJTGlbhRC7bzvF6c7Svr0clAy415jcdN1WMLHzNJXMnlX1WhHYWAs+L
qMIij2hx85gWmpqgPPgCwVEP0Osm7VUzO5mSu6wmdmw65wMaj6J27jT3FnVjw3e1q+AU7F4VBqzA
nrPcJaqj5cuipBBfFMl0aFrGauoli4uefe/Snx1JfGcauDxnje2aJrDsAzo2G0odNwS2JeUljSf3
Wepg1Rfe7NI/hQT1LupkcXHZ/6JyLGKpul4rnzGzlZkOdrHgbMGfKwqDHx1xvLYJhcFCtjzdV5sN
ZkCZ0bMIsirJc3omhXRYb21L2fbWy/ucdkTlIhut0zjsvekxXGtvsrbW7HD9rTwxTTf4vanCxOKY
Jp8ZjSnkM5Ro6jHFyo+7JhsoJt1uiS3ctgqhgpYaJQm69Ymrblbc1Rlo986GiKCp0fQPPE5hwNdD
NkhXs1T2rMnhaQ81Ueb7Nlp49JFng4U+4+xKHfX66rWqNqVVbZGAh1HU0NUj1s2IZMyD0c4GP7JS
z0z3CV3BMO/G9pelHbggAMA5Kz6BnSZfKjKvON1y1l+FYeVTvOq5zE7SvF2mu3CJ1vEsnohoPY1H
l56Cjc3yqQ+8RSqWzrCuOj4m8aVgrSqH1lSihp/OOjO/do3k9VS8pUOpHBYpCv4pRCU7szrj7aVM
F/jaWNRoKjloUtRx09jylmkmIDJe6Xh9hVBPkwYMgupuiQ5ouaWFM5lDn8iuQhGLg1Yq5d5aWr+6
inrAEX4Ra/P1VruVWbAkt9FiblYRE9VuCADHeuzQ5l5bffHQrvOBsCnNyoEsxxS6jYPe/HcA63/A
jDB+w04ZihkTxfcAa7wwSk2Tev66pNL0mSq3anxyLYR7dbIZmUdxS38NVL1H1YCpYtpTJNq+Q0SL
UYz8DHfqvm1jW4byaxDOhk/2+mjUsWWQ3X/6VREpBYy9DIUNstw7ZNXNsx41AeGghZ+a9akLfUY3
F2QAW6xdv/6uIxr470GCgd8SYGovYJDi4QTxHqYcbYd5QF15XxevmWhk/j9757UcN5J16ydCB5Dw
5xLli0UrypA3CIoG3tvE0/9fljQzEtUjRZ/ruRtNtFRwmbn32ssMeBLyJdq9FbMMkV7j07ZZnIpN
YygtuwNEGfOGqK66F/TdoBCKa4X3mEJ4um8783c2VgkDQZVILhGMycl1YGz/ifvzy1thqKsmbIyU
acfF+wSiuQ2LnmGD/dQnxsx1cECptpDDlRbq90/ql2/OBBj2IafBTRO/Rg5SRiUCP7T6yY8Rfsp9
SBb19MlYXLVEnBB34T99cu9JXQYvxnUEHktME8hZevcdtE2HrwP4/ROB7mqP6mcW282QsLPfRThW
s5RDn3qfYkLyZwgC6AKv2e0K+w88jvePGR4njs2AtLrFcjPef5FT2c/j5EfmI5gEraOM4fs8ewzX
2QH/2VMW0ES4W8g0/Brg2LuRaUZh6JlGajzCQnezy77OVWuepHRqe3jCqmr8/Q++I1kR9QAxjyE9
fB84h8BHP6/rPiUr25tk+9iWMNfiTWuGaptjU5S8V1ThEOQZIEdETqMstKFM/WmO8svDhXYksNCy
oUO43Pr7ncUiBd6o3RI6NiyVcgO7DqkGqEfsp7tvZcvYxqo0dixL7d/fQXHNxt3T3BQwVDgXpm8P
p0gRnoJX2ZpkFVeoy+gWltwrORIIbqu8bu2ZvUYiMu4iPbu1O9nqsMT2qBqrdRzqLHw4BHCk0nXv
DoBHxtQiyKd8A6LDYCmDa3dIILt6MNUzTdVW3dipsktrhUsX0yWNOs6dOqG2cTtTHfGImWsuy/0G
0HeU9uyaWSZU0ZSi/FLHqzBUsRymRcpOonfRxPP3CGgDmRTjPCqQpURW8QeuwPtlzb6n0j2VjR2E
gV8+7YHOItb0RT5UcWNSs0Z1r1ogf+lVBfAdsv79J6fW7Y9brtpqsXNmRuPBTnbf88wYlMm+6bzp
wY8w6zM3Q+I72SVkQJFpV3qncwWBhUkETdRshKoo1HJCx/84KPobegIlE4xrxlNMkd+foqYAdyB6
O3tVRu1u4E+Yi4OpSnp0BsvcgfuydEN4cErtqxxxx4I9OiKN+f3T+LuxuqcoyBB0lHXo+7E6c4kO
v303fyWiUQ7r89iYaNk4PyVY+mz1ZfTvm7YcttKJw03th/ND7LVjzTR7Me7/cDE/T+3OM36l+lQS
SYyRfmHsLsUwjRWRha+RqzsfGsfo7kSuaWuXMoro8GK4GvKmP9ZWWRzy2TQu+9Klm3PzfsZbK/Yg
JJfTeEq0wXyDOd/YgUda+Yc/XOXPX5C6SofpMipRvPdQVbzfj8cilKjDreGVGrOJPrJc7W7FuS2D
odPHK0H0EB1ctzje2mvt6i1edDcLFtTS0w7hdPfJ9vPopLtT9lG01kA/Aldli+93zuOOUndlNYAr
3170/3QW97LGgfPpBc0x1iVQKZ/7H6XHVCXKy/C/Cy0un1qZP5Uvf/OXvmstXPsvTl6+OActA4Wv
8uf8Ljp0/b9wDofXazNEpWBkf/uuVzb9v1yKBqpWS9nug8/8W2thun8hlSIagX2PSTXz9X+itfh5
zcBvV/FWSJTQHhKByyH08xFa6kPaFszb925k2AvGHBZQzBzJj4Uxj6sosu0/nNnqH/zPBnr+QRcb
I5YoVw4V+11h1ENA6rXFkft5TttbWs9x5ThTsvvhJdx8+/d+Z+DJbWGfCYHMsrE1/oVE1tssJUwD
5z27dYK3zdzcZlWLr7Fr1Rug+DwwOuJpcAbR7rrJ/ZMggvLjl9tEEIq5mgnPiYf8Xj0wDJBiR+n2
eMY4+bydyZjdQu7Q98Bn3mkWcXuc0xmnZxm6hRHUocmEqK0TXM47yo0PmIQYUYCyWhJ4EdMFRgZo
rbdM2ZZmTk2TGJgUKFa0ZQzmOnXAGEJ0MKvek/KtwTvszsQoc70Aju1jyx5XIUX8kfSt5kuYNHIX
jgUU1zoysNtgAEHZxDmz7HXmC+Ayor5qJwLjxDzON705hMfJ6eonrygSHaLOKN/wWFq2IxYdn/Kh
lDsGT+UpNKgT2jDxjNVUiRKbGZ3oqkTWD0ak8xenOfFPXTMrzzQnvPNH+HOwsmu9OvCoymIVsV0a
mAJalrlDwM1t6m4nNu6SiHtZSW/tzlV8bTdLSaQKyAMmNCIPajdpbytYylEwuhMkxd71gs4h1Xcx
54QQkWJaQz9oj8DKzW1X9OFxGdx55zQ40zVEBG8MgJFPqV6Mn5p0cT7wdjDm6HSxKQU2TIMzN8+S
9mgFdsI3NJUSQVBYPQyQB+qgwSt570w+awjEGbCo9E+OoSX7BmXeG0x/+ZEaSX6Uett9dtBBnhAd
WYcm6o37IV+wPe+n8jRXlX8qCo8n4qcN/jpWMcFRc5jmBBnO8JuuDrEkQlKwQeCU3dUOJqeDETkr
DKHaZyvkj5Eas60YMizRXpvhXJfW0GDlxHL28JrbOcmQH/Chqa+kW09r6MiMNDuzbMuN7nT5oe48
fKIXO1u7ljbvMA3N7iLit7eOFzdXWOXaqxy84jXTpR6Ufa9yb3SdTcOoHpO5GT8RVbZc+s3IP2XG
clcX+E4bM3fsT1p9FTJ2WTlaY19rgFYry+deYFr4Qe/HmLlizlMEIzOaV2AHCRorrOvI4k2EBD8H
UA3kGiWKVazzeuC5ZlH95Oa+DYsaifO6nzW2+CoOwztHD5tngiOXy3KK5UeBCfauZKiwzluMQ/Gr
6l/01DHuEyuZ1nGUL1tD49l2Ee9RzWip3/lEUR+Pr7Ll7pdMYjbQLLwJy6nkDnG2fGuzsX7IIzc8
5l32MGndcFSGhteR9wbYBpcX7SxCgS4sxCHu7EedbLEvTO6HTxG9dxwILUt2QidtwLLyR8bk42uP
bviqxmvhwO+Pq5mZypXjav02bKz6mumGde33k309MIW4L5Oufhhsp3oExOJrdbNl24qwejQLW16k
pmZ/mD3p1YGWev7KK6fqKQI/JaLblMy0WkyLzjfnxSwCzJG0uxmcpF8jZFsuSVjqPtdEaNzJqje8
AGcDuBQ9JrIYMhUrZ9KTfc+YyoAeMCc7e07aZwJBUMJaRYahgoy95gtkQf+EmYNrbhyAy6veEZEn
PnuZb2TOw1jB43tO2sF6SIyyyKI9ou/SIiJ90fBS0PVpuJTNFNrHKTIH687MJKJsa5YfDUhGqwp6
I/i9muE3OLBu+Q5tPejpfUrFKWRrGsorBuAi6PnCjpaW3fR6p90C/99p9nBlFXWx9WLXvl1acmBs
dzavWjv6ENrhVQEjda2Tz7NnhhMf0DR87FArboacbMDBkl8TD5tdaxxeslgUB4y8niUGF4d4Icut
NIb6VBXjtMnh6axARPsXquRmEyXdxdw34TafWuM4L0wyDNm6q9y1IwJIo+TKWix5qfn1iDxxCY9O
6h21rG7WSd6UtGF+2BwYledroeFl2WCsFhRJRp5QkedvwE4900S7dHdDhz2lb5V3cIyTjSg0/wJG
UX3ZOem0dWIWbJMWxkUiw3kz+F50WCQvUhijftBLbdwXLn66dW96m2rSxKo2MRnB0TjdxToh47At
9IsJysR+iIwPZoEe37Hc7mSUvplvBM/+mbHYBApFpASp4wvvkNCAftyLOgEsNabHssJdGQwfNoPQ
B/LXfYOEI/oojjCnWcuwezaradhFdsSZxwHubUeMx4JYEMqeohm7Q/9jBGDp3ZbE5XgmQA8DZt+b
cdscCWc3s/miRNipJJ/Zg6+FlbtyZkfufDhNEz4ItYdXmscIEyEBFaLZ3FKdeVtrgBZ6ICNI6GvJ
JhJjkcdoEjfVsLq08q6+mJZwgYCjYy09ExmL6INV1W2iCMZuWfEFyt6wj5BX54/LZKarNi1GeCLl
fsqh7mvV0cDK8wnDX/sgZLHc12ldRSuj82G32z4TulDeJJm5rMdwaI5Zgc7GYYTH556NAVNHsAXQ
lFsXNwaKA5UYGkEnDvTa2zaMJTaaT9L7hK0Z/B4z/eI6GCt6upy2VihHrGJGbdvEeYWrb3GbY11L
w69PhyRhPBJY47iOtMj/lONIussTvnjHrOKDN87hxp9C65J5ipVgEaHdwXv3roxmkUdJO8cQ3fZj
a9M4bfGKhfdVzPzm5M+9gFUxTS1EYUAqAnZjtKE0foeapLRmlcROe5Gj7X0YUldagWtPbhqICSfE
WEaZh9FAqr/WRVHka8g5zrzWU308APHgIFBo7W7AnuZhyockIcQlSU8WfnvP2GU7+qXRWSPpeQZ+
dPaDz3xjP8XA3oFelSTIApHj2hDb49cqxfa8zydVF9TN7Tz3+dohXh7Hh7FILjTMxRGu4bDq8vkV
8QFEoz35TVdZq3Ym9IfZs51g8+CF3SqFp3MtGa3tl7isv4ra07pVixmzejd6cC6RIB1yDpGJuk/t
rjwhorHZnOv+xcPnGQ3GRPzFVse+NUL258k3MjC8dS218A7BrFoDGWWCGyLLWkf2QEEUJ8WqiWv7
ekkS7U7Deo7bRTOxHbIEH94IU/ZVQZEXr3Fgr7/O9UAyXUxQ6pWxcDoziWiO34qvJhHGfWrI7qVO
3RSCpI1MKkD0QhLMLCXOw7CyP8xZQ1mmCsZyI0Yrg5wu8gNy0vKUt8uyt/RuWhfVxGbcpjhoFrVo
wnVsdxzuflFpd2Xko5cSJq5AGDqvS9upr6LlfBV+88XUGEtgXYtTRmAvhXwD5POCxHcpT/ymMW7Y
BssXs4ZUAr3NGTm1R7bKiI0oKFouR3a13MWGNnyKE513ZzSaV66YaMpdBEZxgQqG+x/GaR0Bwu4q
iq0HMuJRkUtV/vpO9eD2c34QHbdAKItx7xWzfPMkkguIo9WmTBM/MJKpk4G0Q10E8JXyQyb85vb3
Pcw7cEW1SkodQKK8CbqoBgo/92atgGiBZrPfR5pojiHxS6ocdstVkzbtLZ6jlPdmo0Z2Sf3YydbD
47LkYQ+9/aeGRpnmvGvbvl0JphVA267/DtsdKmzH67Tp91ZC5Y859mBfQ2MRmGxP4VFaFIRAnqQl
Rfp84yLM2qSdbe6XvnqM0MDfYbLfHDtzlBcMX5ovw2BZ12Mi5o8TFff2Dw+O5viXi/UMhUt5IMT+
+4sFqc3cUTO7vZaYejB2pfMB7qe90g3c8jW4ZWuOIj4wY+SLz6CHrXXOqWNWztVTWlM3uxZF0O8v
6p1GXr1NUGKGD+qiXOuXxjcaGr6RJOr2zJIbc8WALFx35AOclkkbd8zx4zVb87KRpsnBEw5UUGlN
8+rGapmS1nyXTlZzxPyHBIzQrl4Qgrm3nhPVGzgbC2zBtmqCprf/lKzMkOCX5+kS3wx4QVPNJOU9
ZGUPeNfncoJ8i1RnhZNtnW6awpfbSs7sTkk5rWGTum9IysZ9AmVtC3n9yUvrz1MZmQRFUi5p9hSt
h7qoLsdWWA9jXZeXyWJmF7pemI+CnPb5koBorOrbOPbgyBrZWreSZZvMLOiCrWQf+Yl9rRtxvWnn
gnoVl5cTBeRCnoApL8iendZtM5C+pnYYYQ3aHRIB54Nmu/Kt8CLdZiprWVpgduyxjuVQ9yJFPgwD
G1gcKv0dzTJ9SZTxHy1MU8oAvho78blWx7GmuS1RvLCn+KpszyjofaQ8gaUnzgfLzOoNDvf1VWYa
3illsL4dDSCHaIzHTwycozjwbZE/tuaQOcc+h3N1gtkX8ZAS7E61uevnjR1lMWbAtRnm2t6ErYnP
kE0qT2etuaFSfKpCywi6xqyzg8t0PjpgcJysw0X9HyEFfbjWoSzADkiAr0cyrT1xgUC2eyGofa45
janpWz1OyzUZB9xxVPoV7jDYpAb5TCnvzoYeaJIin3Za39N9s8V6VvdZT2k1RYmbUWdrVbsqYCpc
zi2Nmxfj/y5JIti2SZ/shpHqSs8mvsilp6GAyD586pP80W3pH5fZqB+8Cev1dSvxrTs/Oz/D9Pa4
LCo/yo61uzYV5sHg4LjNzDHZhWSxlysPldsBrW71NEuterIk5sO9yLFEZtlmW7P32hs6Ue8koXUE
w0TT7+Rl97ks6GXm2cBNemY36lVvx3gmxy+vx6bawmQC3+p8GrbGEhWHtkvpWkrXhI2XuLeF2Q6f
dGMQpE6I6snu2mSnW3RYtUH3vG7LhROgr4zus0gBlJomr696FzQZby12E1hvhKkxJPH4s9W7Kxz6
WSOdPhARAn3PW+MA3TxX5cxTKRZYTXSHgZ1Yy54MzOYIHx5UThCGF8DD5QiFXrZsbekCABWi+TJJ
1zsZEzBLV8f+KcLI8khCSXlyIh4ceYEoDHVhQ6krx08eascAAm+y8xQChDKvvioy8CGsOUAIyPt+
I3cmWjaJt6BgdoqbcXbrr/3Q027rdnRtlBb62ylW/pn8oyV2Arfnq54tHxALnjIfRkVmH9LGKT8Y
aqkSpLNQ0GTTugYsebQxHtrOLeEmuH9MYgN7CWRENa/JrNPAx7PV3Oply5upUkqR81lclxFKRLAe
eZFBbEej1k7gOqbDo1KgBHotebFEjrycR9C182coZiAYPu9G38+DJi+tCMTDxGnk9oz4IBbBOQX7
0pWDRgBKE11wXhrJPrcoqHLP8U5D6BCuquABLdJ4DFZDZwvgyKNXQN6SeHKb1QBCUxy/MSiTlwvL
rVzN2CqHAUYwEOgi0Cu9nrO7pia+OKAAxk4N00V4UO580wwj4BxygwXVnZ4f5oU7witDAOIsLEEC
UYHgQicG/oM3uUIXVm2g2AFnANxNm7JgxURzYV+LzLE/UPDoLcDX2H0mrw1EcLGy5stiYvIW2P3U
PEcpiEun9/JjidAITnibHxA4qr7RYlujow+PZ6RG8zjPPUqNdlWijyEoUQD2NAtbnGnw82f85nxI
zhnYbVnF1kHTtVddhywahK7yf88LiqWm08l/O3+aMEm2kL7yA1504Z1u5OWprgRhG/A2Tl7fNV8q
AwyN2BIwtUHBiRMCmevRotNaQUZmc9dE91LlfvU4I/1CDtD4p8lln62mmEcY2037rJcmLwSPNGPT
0T5tOrjae5hS/kl9z02rtuEurLqLvMtBJP3EpebNWv46hyjEaqgK97FCvalL1ClAg/ZoeHwS1jJ0
L0MTVk+wgKNrd6iBjVr1/WQWDQA7EfEL3E6o0K9zeevhAb+NMvKBCkJFtgja2ZGIcr4/nw1GDwQ8
eFF87bLlgzsBoo54/l6jG7Y5KibfOzU+ZUgjM3E/Ydi28gs8ihx8rA8W7fAqdlLjvnZMUnKw3Dsg
MM8PMtfL02IO5ckWFLGFegcM/OuHrpvIdkS5RHE+GexmVjR+khNlMnxL76RXubjXipLNln3sS9V5
9UPs5OER/MJZnSFBlMLWwRN1eIzKeMIuj/KzYzepV7Q52TZiurxtqpnipKfZKVjYux4j7z2sLBaF
1MfqMRcaAPUEZozCh1ahp3A2oZasBeAyjgXq4zlvs7PL0wA5khdtZUWf6eol/t5COfIX3QwK1Zrz
TQto87F2qdo1eNdyNWIqce3qbG/xyDrKfJNTi6EnPZ7Jt6bhOD5P4GUin4vkAB+mOU51Doiotkqo
pGLTZmZ2veBtyqtMbFAvDQJk43M+xEAmrMkWdLrsXXnJaM+4Nxt3eHUxD9z1XHpAKhELN/FpQuq8
qr92RUvJ0WAjfoCyThNTJ/G1gCswjjZPbXE18yC8mKUCu3ICAdHphsap+UJVkloBJsuYVuV65VO3
DHZyNWmw24OpoZyoqpAKUo5yPQ68cOlly2UmgNTPfzwvTEQMHDHoLdpne+JMrTlUDuXCqHMWmtwW
cZrsKmxTEFtRVUauzSaD5UZ0bdXuYuNRkiyXWGTRkU2u3M5d9jZYS+Vs4o4G9gwUu139aAk600lV
ARLn7HFdi2XYASRwx9PBzdNpP3jWwwKDeL2oSUwPoLIZbJcfIyDHO/Zh/z2j/H+jyj+MKhkpCzrE
/z6q/PTaFlX503jz+9/516TS+AujHpPAED52lfNBH/CvSaX5F7gS00amaQ7yEYdf+tFaGYqTErOj
ZqZB/Peo0hJMMRly4wSEoFa3yRT5B/6o7yaHgimpgVEzV8iPYM7wblTpwfpeEuZie89jak86uBek
UFq/Tbqf5/8XvVY3v04O3ze60DrY4x1KITWq/YXAFw5jI0ySz/YD5i4GUcKsXG8GVy97RmEFPLND
vjRZu66Wvn744X38zW+r91X/OBxVP44om2ksjw2iwLtbZMeFl5B5/j5CDwJC1YKljLPB79o6/Z9B
BRr5RQ1NskzMdbfI5HXWMI7cOK1jMt4wFgAdFnY/QvIzG605Dsi4rjs0M9oqzWmBe2RKmy6Klsuh
c8O7gjSt9f/HTUDMwRCO2TYf0rsJr95atVn0i79vFkrt2aqWbaEV1iFxJ/mxMZn8hEbGUEArONMM
9M4PEyL0tV1FanyZ+PONU4r5hjPIQ4OyJDtfHaSjl1EgIWnaksVs3BfJ0G8l+xlgnjq2fn8PPxOL
KDh4Dx4OaPhfI/tz3nuQgLEywHUnf4+jKXUHVU2ARkTu3OpPlmvv5+/nX4IPy29inkfpxxfxgxLf
Hg1wR0xWmH7Qbp2n1dDhm2PbU1tTcxf/cPyufg/yD5G/fOLKXefn3xNGV5aFlvN7EOFv2VE6fAwj
//SPn58yTwHwALdiCv9OF+63bBf5pHn7ltYFq+L0rcb0YZ913v3vf+jMo3y3YmwsqtiY1L7wy6aQ
RobwJ77BvUAvdljUtDj2+Wak5MVJujcQzJhqoKp6hlmqO2BOla2tlBo0HsrlorDt5rYlQTEJnJHa
vjaUedVoEP4ZEZl2rHJKkYRv8+MYUZUQbqpTF0bpRDbluaeYa5UB5olk31HGfJ6cJdn//ibNs7PS
T3cJ+MLoFvxIBZ/iYvfzWwtFmA/x0s77KTUNDB+J88I5oTtoKuKLtGURgNS/zXlL/JcKAuPjTffE
pZESdI4JQ+ZxVZ+zw3pSxBqn1D8bAlWv7Uvr0Z0IG8NTdtMak/hgIC0lwAGRzQrDxfxe6Jm/jRda
s16Fl8VRKdalCjTLoq2Bwesj21m2d3rbxuVd2PtRBaFxusT7gsC5jRk5yV4rfUnnS3RaLIgf7szK
u29VsFqqpcW6JOSkx1s5fI45eFZFl0UHYlfG6zrHggaZHlFt6CZxPaIh29SjYCZi1cPKGRzS3Xoj
qvZZWxH4xHCTSRmFmIqDs/1avkgpO4ZAhMVFWW/u7NBKuyB1YiSQGdo2TQXM2bGp3yPyLD67UZy9
1UaMLUmm+6TS+W1M34kzE5T8Mp6/uF7JaFxF2eHnRFUn0/m0NL5zjQSATt5LSvIJkVpeEwfZfC3T
3H7SSclDZYnnDrl5mgrQIwNKW1tRglGx2x6LwuGqHaPZgA4e5lFD1BvWxOfOjEfpcwmo0NwSLV96
Us9zXeUpzsIq1A++NvF3RE7asTMF1hzrB3JVixN2CfKjdk4GNAripYyB4XYglVGvzvmCrps4QVH5
3mFYLPOpDZ3uhgi+rjz0DK5XDazP+8xCFkA4IaMdEliwk3mqVHQh405tbWJOCGVElO3HUnbDqoKG
yKuZ06BTEYgTWYhxbN6KENCPvW089FBVAgxqmE+2sXgxmYmtW8eob2WbX6L0j9GX4Ow2RvmwHlQQ
I8DMsGp1/UioUoS5p2UFqT9HH8o0uqQdeYxVpCNiEf0uNIh5pNX9LPvsSeBhvZ7Ab1aaCoXsCb3e
mm1rnNx5mI6lCo+sxoUYSR2iyJA2WkCjEqJgIW7SU8GTBiTZFSzd+ULziKXMMEZYSRVVqanQylrF
VxK1hP/IOdOS9nPk4xond80xlG1Jh3RwywHMW+NUIRAeddqFvVTVqVeRme1sy6d06vTbIengp+BZ
RbqmLtL6ejlnbhqdgQc6StADspN8b5iEc7oVy8XRZKXjjN2IBetvMWHig/0j/rN9HK5mPS2f29GK
vqShMbwgKpdfGFFNx4I8rEM2+rhkRLV1anWt3jV9FpK7wgxtMFhfmszotHMpIxMdn9sZh5JBy9Ks
jcYpNoUeFcGsLfNHa9TLramL+KBDuthYOcOvVA5h4JsDmkU8PE/JXME20UlZwH63BD8bsnqdwJs5
+jVtjVMNcqc5IOtnQCBMIVCMfTtVV7Cm83VYUxQsI5hDqxCBWhTeOok4Oc4jKmbEcLZGwCLuuD2e
pw70w9hww7nGgF3vPi/+ZF0LFuqVTPRmWGdhD0qkI0l9NRQs5+f6spdp2j7H7hyhSE5cxkN9eSpt
+n9NV+Ssqo6vgamoThQiUqkJlhNhJb4OkYWjnMBCajOTd3uXRxbQvJrjZfoyIQqlLtRsQOo8A2QE
owfnUAg0Jr0wORK7e0F0o+/zFPAsbblJ8j6XS4zzoCH5AH1SmvUVJhfh0VXoopyQFqwcDA3XKRLp
jd8C2jDejK99RWSyB1NszhCWZVvR9YL+kV7XWtQI38+7z5EDajW0JleCB6G+G8eeW9Ic2GQ9DuqR
iqewN7j129dn1suidKfoQZh9pU6O4QxcL2oVwKaQECrqyPY4OnyvBoSeN2rg8VMCgL8xK0ZSqcR8
SoFHYmfoRbNj0GNfYNKk3Ul+IIb6zMm7hC7drS1j+xE2B7Ng8Kz+DioB/4ucI9Bo0axbNza+MKq8
6DKIBu5IClMHjQlDFlM3L+wZ/XDDpmC0g3k1mo21reNmPmCe56zGPI23lRliIVAO90YIZWHq+ySw
s8neuIl+04alP2I8HDFlgVsR73j8bvbcWl4Tn9quaEa+ZnJE+rkcZNDTteOtQe7fyQ8Lu2ZnlSTp
ltD84qsZJmGxfBNo/K9h/UPDiiRS0ef/e8O6f5qekuRHZu33v/IvF3Pb+stTBFh8ukxl3UMx+71f
pUn9S5CHaVgYHNj8J7Sy3/tVIf5CLEBfCjTMGE54/r/7VcP7C6qmjTMbGhYIH7A6/0G/av/cSqoO
kogOn8uiBIKyeHZP+qG2B8jNlxQd+Ieuq+shINiNmTHKbEDyRc2uaitqb+MkhzvlgvHFcabdMUYG
src0AKI8AScmdRb4lUzmibw+Y9X7Wr2xZ6hnqDH4dxwtYj6ljVVyk7Z4agdabZuHKgaLGywhNjUW
UCehMZONfeDHBKnHrhKQQ5eUAtePmCOoWflruWjUs7HFNqrNbDXkBSQ5iRT99IQJinzC7kUm6wgG
kAEkPlIst1m7bN1cb462BB0fRJw+IeeSN1omjbVAufsgSYBY+TWuoSvSwvrXsY1IXatz6xAhDLuN
YufW6LUkIcGiEx8HE07UH3rRczvzn8L5/AocxyPkHkKwTxCKmmz+8AoKLJNTLeycDwvhnAdcCSgg
xdw6pI3NkORN0fRk/4nCv8FARpxKLOYhxTpeZa+STB93S4y1neva1cFfhvFyoVq5EoNVQenKtM84
GnR3sfLes5M0vRzs3sAENibtLs9DbxfFQK4D1e6157Uf+9y093Y9nVxIHvciFkx2/Ze0cZqvPyyS
v0ERfNUN/HTTllJ7oUOka2Ae8V6UUTO8iGCI4OVYFeEDLJ/5JsKF7QvSOE4qdGa4i5gEqKVTv7Hi
shDkOsGY68iZv8QBSv9aZwaPwben+TpCS3qcKhjJoeR/NcgVXrF6MC7gJEzX8eDgtxE1843thZ8w
AxZQrJL8E+JbkOos1/fMhkmb1lptl42ms5ZV228WnaIXXy19vNAX84X54GlqhbHHY9/ewycC3bFC
bPhnmW1mm3Nfr/14aycPee0jhLWq6TmJKxO7CnN6rnFIOrgyb/dtT0JfGMfjqh5JRU6m+Y5FmV1B
BWAxdRn9p/miF0lK4Ckmvt06SxecYCx67CT05mGdQNMLKjf1d/rSYp2aKH5NWc53aIYd1LNlkl4W
sdmAt+aCkrOsX728KfDUp+p0Atv2G2hcLvn2cdft/blOLhBT6ZdhLOcbAmTGSztruDlhDjkuWPGS
7mUbp/5qsSJxh/fefN31Bg8Ui5UtdtLLHn8e1iZJK7cQCrvPFhExX318Wk8WWvWVHs3zHyzS3+1Z
NrR51GEoMk1gAt6lr6gVPywYRbom2tzV7mIGk7e9j4ezhsr0E16QTFxcGgSIZXw7bbU8T4Iw3g4L
NslcWcYvcNnmq9phiNT0evOZHJB6TeafviMW5MuscPFmcIqPRcO/ko2tTW7MaJa7nHd/qhhHB3rP
8LGzo3kji0rczXqbwQqT3Ko8j/DiEKMTjGq2kOiF2lCr7NjadW9s7F4Tm0QfaF1TKOtXLelAt+fP
FtIKInSyvy7bxjZORl2Fb0wk9C+eVnT43zK5LbWluUq6hAzFAmZavDbNMvla6tmuqVqtWGGKNqCr
GwZnRypk5m4yL/auPR0Xsc3vl+57kgiPn7g1D4aF46DaRKr88+OfGqMjJKUN70RbO9q6N7DdkW2j
fUgXnzswUoGpVNNp9ynDcxTsc+3XTOFpTnceVtkyMFmDQyDyJjx6MJSfstFpyWtrpjoiOKANH1pL
cjPYoRrUpoP2B+rN392ApY5XVGmcyyhCf76Bcsm61ogj9w6aSr+ZU2O+otyNtg1YArPJkn2GdDz2
C6EQlzK2tY0D/+1JD3X7wpic8I21Z7Ixy+rJnF0SpPFHP8aiHsJtk3vhfe42TFfjMsq94PcP/3we
/2ffVN8+ELdSVeNM6wvr/bWT8Jq0izXZd9Vgw/2Yui5842sOgbG6NkcuzEgknbv5OnfHctcXHncg
ytIhLScZj1XhJavJF+0ht6f2ULmNdo8ziL+jN+mTFcyUktlSl5xcwf1PBbZCQd9N3RuOCzWvKLG+
duE0HPRl8cZVBnh6M1hTVlINu+0KWvgSzKJlGxqG8LMgS2OveZp3RLEJQx4wc5t3EG/qPJ4fmP0u
u3Yaw0Mi43azlG7prXoh5ld8RtmvRGFp0DpqYWwgjuARWWVflQdJhxVAE0BkqQ+5NYYPsCDaAzXB
fGOppfd/7J3JktxGtm1/pX4AMjSObvgQiD4jsmF25ASWTJKAA46+x9e/BUq6l6J0i1bz0ojGZCgy
EID78XP2Xpt0u/hLE2nJsGXoya9XZBxhpsZ8AEuJ+y9Pmb36Zp180VF57lI9iT5y5w1fhcrXFWS9
NCmC+V4Wy0XoC5dP5Kx8lWwQzoLCftSZH8WBqB356uYpKuC8xCeRTEcSIZBSNohRNBLIbuAntqHt
qukKS4e95N/fCBSJf9lBuRNAslIzGJxzvpeDP5UNrNUQPrKhfsDdi2iDJDFExt/XZgJeajw7Ndrh
JOIDEPMd7yjFqjfH7Jb7xWBN2sZ5e0ygcZP+mKpTLVU7Esety2wzaKnMgzgudkzC1sfVcPXPM7P/
pxW9+tkcxfC1x6SkhcSF5G7YJl7JfJ1y7DKgE9jmzDe5D0RByKqyVKR2ykC5FPiYHw9erE3hvFQu
oWL50zSWmEHcpJ3VRjPpoteOdo/VbB7Dttf7L4DIWCKzYgUJ1+VhMpZ2L1ZxmavWib++fq9EcnUv
7ZQdbC1j2DiZctn61vxioN4K6eIRXqHPCZSTlAfCjwU3a2q29OdwsL0zxKHRA2nrRPgcegkfNA99
yqXeLzUYrAv9FIGQt8+SZ/YB+dxqpG4zcR8tjt8yT1/QHfnQPch7iQ8JdQutG4vVIGghlXwhiNZ4
QGewFjjNVJ50b2KrAo8ZNgt+Y6iRfbftpiTX+bgZS54ClocId0RoF0Rdz2MwJ+YSbTynFSJUC6nZ
cdy1x0gX7DqLkVqfE1xDM6Ykp8rOGnYXyh9/vo876G9b0r70zzldA07UNf2KmZVd32jFYtzE9pid
Zm4ED1kH3VDQFkm5QVdpvRolshHup365ZyYMJ8xw04nss344dHRJ46CFhfjNJGEB4siibVWfZyR7
OBHHd70hZJfZKm6O1gGP6TSRG4yNxl0owQ2UAaqIsPPtjEzbKtJDaS3qG0nvD11ZK7mxKVtpZkJa
I6WINDLXzZM7M3fHDZuBz5Xx5+X++4P035PtL062HB/X4Nf/+2R7/Tq8fXn78WT7x0v+PNkapFEy
zmBUQ78fdzfn5D9PtuuW+8dRlvkqkw/kuA67FUm4xv8eZS1cp7jUOQEw6gHyDIzhPzjKAkn/aUV0
GEfyNhSEzIfhtqxzrB/qwqQT01A0lXVxoSoiHBH2cbZ48hBpK8wS5DvX4VSVJ5ItayMojXrY4kZu
t6PjqX1vtvUNfcfefLWTJbuWrmqScz0NwJzNihjssKcsebYGMbwS+MddHLPKJdVsTht/8ACNV12K
NcnBHLbvx9l46NFwfiyGaLhdGkzlSFAKEPfZ0pCHWBMMspO5yA4urWZ6YdlA1l01d3uHmhyQXwLo
EmtrKTDnzwhJxDyzfSYTcKgDJnfQa5jI9c9YwVih1ZxlX2pXq29lbA95MI75dBuhIMIRhitKDzES
zRlVp8zcYzk3YtktRj9Ve5IJ+anV2pW56nzmuxqB0nyMtYJ82TyfJ+3k8QuWZxEtGP3KGl3wvelV
5b0PypcDejbc1moMEOND9x8TFKzEcZbDPh0b90D5UNSblOFqfJDA/e4ar8/IHhHN1FUXKzOfuqrq
3KUKR0yYXX2IDEjS+zwyY8vde+QRxoyXpb7o4ZTmTaFvssKbSBZY8oI2A1mHR9EaZQ9TM64R/KWO
8AryPqQHMmt6aTnFt9bDgLopaOCLQaq0ZUThndWD8KMt2O4GpmIZN/mu8iqPhjtTfSfeECyeRrcA
PLXdECGbHAnH7Cx6GGjh3O6mxRAMZbUmkKE84CQworPZJKTL1KId1hsHtc8yUQvttGlFTWS5g5zo
BJizr0gOQPTSrcT5th3GJcepYo6t8RpHiWkuHycJprX5ghAOnBftwWVR0X8XvK9FJ7v5FwueQd71
v1vv/l+TAah9a39c8X5/zR8Lnuf/5mDVpiWG4Z3G2w8Lni9+cwzCyFjjXI5EMC/+Z/2znN/sVQ7p
UqwxZf5RemJZvzExXSfqPrFfHqjo/2T9Y/Ty1/XPAAPPqVhnHGDYRGH/rMyAZmqKis7P0VaetyGq
Dugo3fD9EiXTScW1fVg0BKubchznL3bZujd2JmpIu4YxPpRlr0N3qLQ3RcfsktE1BJ8XWY9OmiL9
dioGR3Er3GuihvZhTgf5CMVR7TNEdITfOsansoo84gfd9ARyeNvN9AHgtqSHSfMatv8UmiHorGp5
16tMo53BAGoTTZn5AfRMdvILVZwj12IlRi0Itqy4lLYJx1lFecgINjkZQzsy/cFqBUkeKYmpxe6J
g3qlAsYft+Tzqn2lPP+GXjgOO9eZzHu4fv4V/jJmK6YulxlfKYPz0qp3KIXU3ijN+NXwpX81MF8a
k9NfItN4XPQZtKdD6VPUwtcCHZjcN7I/kmDMZ2eDyqcwN03edHdk5IrASFGKWMKecMcrFjBb6dWX
ceRNLKJwg1o2al/0ZfaEZZoezaREiu14Sg9+27FqijEPdXdmRTPM/qXEZHXb9cl435VyeQfzOL8W
TW/dYzabD9acNlfHSqd7WrqSqsiUuzqy+7M+0aPLrX4KYXK7u2pQw941Mj4GDZhAZIU6DHQOMQuK
nrrUCmRjIxTwq7NZMMpeMY29BGObYT4LWzsic7jCNuppR5W5GatdubwIcPH7uh7sb8ycSgrqTp47
R4x7R/ejI86z/A5c1WLufNJxT/CNIm1rkQp1rmA3P8ez9D+669QulU51iipn/FAhJXz0IyGJgcUQ
x+QRHSODIfkSdaLFoKArGoSi2ucgDHx0haV+sCeFAy9TlnWPKVRe4pjtDIgpdblWecQRSfTOOL8x
HUnMPBzOma/4DfcK4UBOtEkXod77acLr7TjqME+9dXbgQO3zypEfe8+Vr3WVGFAuK/s+Bzt8mOiN
XVn0rbM52uWh6cv4thNl+5gulr+ZckZoudYfqyLCRuoXtnc168r8WMCDutSxyI6SlLZDmiqRB3nW
KkJymGypajybySi4HevmoOndtk/i7g0Sl84oesqMLTpW9622xq8I0vNjPFdDkMNuPpZwtXcuO1aI
it58tkT2zkCOIl+LhfkRAcBjiU/5mY7+vF/0Qr8vE4fT0sRh8GRr4NQYinr6NRmI0tqMmlO/tVGT
4ojKaE0Jiqt3eo3Jvhh4UbxI9eRJffVaQL3XoTSdcVnk2xHd7NHplROC6M0/uFbbfYa/MzRBlxmP
0FBpoI/OqRzrPWQ7+JgO+c2BVGl2bxmGerAjdXDmsTs50VIcRZaXYcs5K+hZLD92pS+Prp1HO/Ka
6xACzhRExZQ+VC2Jqwsyzo2VkQa0JGtZU9nZK6jj6cklNOqeyWy54Qt1mdQmmRnC2KnuOH7tRuXU
57qBUYixaWd3ab6PMNBdAJyofa3u6SoOr9oKZ8ocy7hP9dg6FADhW84iQG8KfWjerW7mNwG1PuqT
uy+NcdoOCvXCNnEt7xXVLWnKFVIsGaBIxYe3zIw/sfLskRYsMphn2900w+RwPiJiMIijeYvAhzSZ
pezp5Pr+8BQvM2QFlRGkpZq4ZpkjzCnwq0Y/x1VdXeYi0reGob2mZkYMIzI53EvKdwNWAMTixJNs
lCZfMm/Uj0pv9S1pDXVgkkX+WcGbOEdl4t/buecc29ZG77/g3ruXnYZqhGMXHMz2zUkhT6S67d3p
rZOT5plb+nXwUAh40WoAQTjlbKGN+s8+u8Z1EUny0nhC3qD1/wTZyjmwIy6bOW2HaxsLmgPE79y0
AECo2jQQEr1o7ro0qi/4K+pnLZLq+l0JT7GFYscv43Ax8WXYmIheSL0z0e7wKZvIKymBU/Pr4sb9
ZbT96k1Y9bq5IBN5TSjoniBVM+51sPUDrfXjfQ+kHx52PG4gRSR3hgE8fvTFKpyupw96z6WnwbeE
89yhOZxMj2a7T/E7EWx+S7DpyI1mjBtfQ4rNN0uoN0qEfl9Qzx7htFdPqo/2kpiNLUjt5Y4BgkD+
M+hIwWlOp4BYC4HDado5SI+vxhCbJx/U7qcRPka4isIYtrHdSh7xcws/6cDIBEp4Vjc+7hZHhnkx
6q8qaqIDKxO5O50ZzqZj3y19qr1XyGFPVedpO7IM2lsCddXRFlqEcyxu77HDeU9wA6Ododf6h2SQ
WHwGN9I286w5Oytxm2szIwJCpPmuLz3LP2TLBe/IJOL9ZI0G3k36J+YqEsGiQ2JY0cDQCADkwgpf
U0V0yYom9XvP0tfo4TSNH3ubQoS09VrNm8Lyu/s6rtWhTHikg4khIpwosDZF4EZe/c1v8IQNKjEZ
YY/aDVOu7ewVmHqGIjt0dv/RBngQsNZiN/T6sf+cdc5HcjfoxfbfgIp/9MrpoTCWfIO+nshCq8Yd
VbjzFrb7o1nH1alKXPdxqDLzOYMw9s7JcXoB4PrRGwpH41aXpOdkJwaAdOZPVd3WQ7dXiEIW50Kp
VcROsJj4WraSgAqxXdNLIePYbtiPU+/d1RgySHyhJdzL2fIOahj54jS6NkD6BwwQNL72/UzVs8+T
qrxIskPKjxULKLXXmugwRTgSSG/IT56GYHfNUgkp8rKzEc/FqW+k+9Ge7foTSWRxehcRuHfGE240
j2jtkmivlkwt2HnacUHcEnd2+sVLplZ7sgE321sjGSJYE5rM6FG6yHELTZ/3QHiLHfaDl5YxX9BM
qFuApcgA88TLxMjs4MiKhiIKpyv/ctr5yqWcVMlJNuKm901OSrpW2kEWs8tojK4O1CJPxZKobcK5
/MQOon1INBnfTC4SPTJ+5uuQ4OZu+DZPSzcGHT7IN5H586nxHWRiQuv3RjHNAcBYyi1rYT6A9rs5
S3kEHAaSFxdBGXWkIXAcz0iI2WOa0YkLEff5krQhSikYEQLqfR9F0anJTXnq9BjGDWoyxpAVnB+n
C+fYrT/1FhoS+PFIJutB7lJ49lvMQtG2karcwhCoiPxK0Hh1QME3ZPp4h56mL6GdZr63GQJ8E31E
GV2RizUxgqSp9oX5gOO9rJY5t33vhVtn9hNEFCqODbRCmavf27//7Vr94hBnus56rPm/u1YPSfnl
67+O7d94Z7+/8H9dBIapE04OFfCnoxwJ8p6PSBdtOzG9q1Hgh0YWaVforvGm0u0y+dEf0fLC+M0Q
0PJWOwJ//R80sWDE/PUQB/+XvAydrhpzX+zY7nrI+6GJVTdx3+S+Xx7ImISDT1f2g5+RREaIjk8e
kWm/jvkwXIhtlSyy1auKbe2oj+7VLHsyIHkaVuuLyO99Im/uVK8/09SCsFEpUJilYEK6YJU+Nga2
MDFrRAgxNl19dNcKKjyaTuMunUZQ+FZ+oW9xsbRxH3WgHLrG9jc9uYCBGgiFGBr5jRa9vOZcRxSZ
pF6AVK1ZGcBxTrYJAFRfzqWv38E4JF+3Gd/KiaQkOwPsLSjbmk5+aykHw5xI761belfXmvbk61Sw
7otvflZcRoPAt8lOAiH7nTCzSz8vdyIFkBDzr5pUo6aVb3PVlWFZL+823W81GO+l67zWc7srmT1w
TEusFx7Fg2w8Jxh1HnYiK5eg0ICDdNZrNqg3V1/g0sfjA8NcWv7GXZdTjIlMfUsrTAlt3KU7S3Em
tHL6OX2Mc3YYh8fYGh+8YuJAaDrxEbD2+xiRjGAkghhrbKAERBwXRVtbGxna6/DLhS1PZNyb4K2n
RyeZH8aKusXKTvGk3po6fSsX++omFuIPMlK3gg+0BmqW3XwnFN/VbHW72q/qQEPnQEIL0AtovAEc
b5gkJRcKKlgEu528VH8NrKEM6lYWfHnuKjlvv7v2RJK/9QbpAUxp8FOurrT1vSrCeLdavdxxCLvr
zHHPBnM2PIQHcEHOlVtqWMCSbxZg8K1tyEsGv8bkyzl4pY9P9rssgf7oEsERJaNDhdK3tJD50RgM
0kvDBBnhDfkHp3ImnUzUzEft6THX7XCai5FMIxIpolK+USoSwmVO7165nAczJuQpaSQ9O3IkkX14
tXXrjxLx4WhAmesOi903B9q0jwv9DSkrci0a6xDnfEeajsMk6yhb+n45O+UMv3nk+/QRFpx8lzuB
CDpU3WZuBRwsnovYePctJM35mrvQxepkgL2vm/5RTAoWPmu+7pQkV+XToxUho8lkRzo3OmUA1jDL
KS7pV6zXnWSLK12kV3SmKbWYfa3wHe269XV8ziCZXG5Fy3mVbjMfnInbUWMIXZla9SmNNEDAKYma
jRYN95bDbaemONrMtbA3RF8Mh9qdh1Nd2sORUZK3CrK12yyZ1bZeqvy20Kp5p9OlOZFm08JCUtZ7
Z7Sf5qFxbgwvq2LumlLWImyypCIQIIckhbl5fItcpARg8k3CT1JRF0hkoud80pw+XERL+cauCvEr
uooi+0RSERPgSW2nxCEMFq98hW9nC/0qMZBOE98VyKmJT9737GW3viotuStKwQ6rieeSDEvo8ra9
HXr7bSrm5r0o2PQLLU22nNMCz51TxBO+s8tl3hORV0Z3RocCMi64/ZfUfC+NsgramuTgZEBwMJnE
VLgl39saptMv3IZ1ZNA5Bndxixip309AXoI5c19dzblC2SPkbGi+aWNzFs6vqL/rqOGHMT2rOB0/
36PhTEYWDbmfRhGSVnRP77c8iGGVcPV1BzFwulLmo88yfkUpZ+f527sBDV8dOjpiwu9hrj/sGb4Y
e9IK3QIIC4zlwshOpoKc7Vi/RMf/VS6ITIvTt4XmgzeDHOl+371+eKfRhUGWRlV5MBGz+xGr4boc
p8ZIL6lF7n/kT/ruhw38n7Rif/90kHvZ+cHLEOH4c8pxbBUQ0VuC2+fOTjgTDo/lxIMNZu8waqAP
18+r1HJuWhbAf//W1k8jpd8/L2Nskoxohrh/k6ll8biknEgOSBIstM65d0dEHfl8rX5OS2JPdH96
H9tp2KHKHk7p0PLc+gXRE8RAJA5UMew7fTyw66Ks8/0ci1vfbE1vPI8Oy7fnmGsUDfdqmV4Kp9nl
RLJMefysE9ITOpO4ksZHwB3gxb1tl9XHGJg7WVcsD//+k/7DLYSlEMwCOB8dp+RPbihTScBHpigO
idnuRKnf6f5yly9oOX7xPv90RQUaWUorD/PVz2YyaAHexA+5V31Elu003c2GFFtdsQgXjk9qlweW
PTZgfw3zndvp+T18A4m3Pf5WrxlIa6mCRBTCiTmh8GtpuY39o+YTH9kM+8RjubcrzPAx2s09II3p
NbbNeY+IA9DDGjjf6037UGTT89Sw7femFKcOWh5jQAK8RCG/RXJNFaDDyNnIK/eTRtYLwSBe3O+W
Dmj4VFmHZCbtOClISMyXKMBvQqI9MAWzX+5oAnFmxuu1wwLzqbEhl7sGNda/v5D/sMKgBAIga+iA
u9ED89T88CTizC5roVnFYRkhHFJOTKxszPGcQButX5i7qLB/Xl9w4bJPIYmA6G2uP//hvYi1kq4S
c3Gws+GB7PZTjqjt33+c70/STyum66DuxMqIHc70fnoPmdQZ7nK9OJT+UO1aOZkbho7v60oPgmfe
d2BLM1McfM28ks2RbN1CnbQpemHE8NlzhgLFEM1HT6XWAZY4m6zP6kR658Uw4m+LM1pbN5LZQVkO
WcK2NQaQUdsbdCTbwauevI6/dlpIg2JGT6HWoFXcbt2m9sGkmw2GFgt3y56paYcyTX6zC25B0NuX
Ae1XZsczIg3ktbMxUv0atCKKhNwQvXsoCzPZCms5/+KC/cMT+wddnXUYCe1PB4XCrLoJvm5xMBQH
hSHJSXTqaKACAuIzJ1wBWvxpqGbvmsMvYy6Lgmkx8tsu5V6OsmKrOUDPxwgHQ+cYZdgn+uuYVlaI
nn0JEOVdo951Ngher4lvpqHdsBJV+PFJB5ufdXN8X1o9kK78MFlUh37NB25AsoKKeCYTpgMYnFR7
S417vxofYtvpsZZwfwp0cisBZAzoqjFmjpS/N+3lmRbn8Aug1T88JOwZ63+ro9Q0frpGY1wzlx4H
0IZeEVLiTIE78usIvQ+iKv7FN2L8jUHF7uixC7Osoc/z/vZM1sKarRWBhKW0LeAHt2XoRekpYqfy
Db4fyBZ0v+Y1DmFtphEV/SpjdXEyCsC+jBwcfCQUyHwgEc9hNowoi5bb7H3GcXKjDd6tIp6MwDGq
/akgd8GqQAmmy8Ok5jMiGTZjbrPYyt6ica1SR5Nhh35B1AcJozQ3lKvbAVbdruMr/X68XMSEhhn5
Mn3j7ORoHa+oxmFXRX0XKKxMx8mb7r4fgmi/l+HYZeWp6MdH2XGQ9LDGbNBJkaC7jI8NWDUYYD7D
heHRzIy7WpO0gqjWDBfdMlFZ4foHDYQhNN71hqz6YWeIpt2uj1E72YzOx0fyRjhAIBDieao0zJJU
S3qUXqYa+6Jb8a8bUrzqlHjFoovqG9+e3pt1jNZzgVMlL9LizOJPlOJCidc0GR5GiwwJq8T3WeQn
bUhPC0oQsFk8wF2nThyK0Ryws0iExUy1lmdn7C7KsD8l7VicMsO+Du0QWmZDbBQHo2nBATXiNaRV
bF9VJ17NRv5qP3b+4fGm1kHbh0KGO+pnnpmarZRxrp0fWnd+L9rhodXZ9wYOkpHNY73WX9+P2sTm
kkj3PUZzfeaLBMv5iJavTnlZnVthRnYwKdZ+6A2N5Yaqi+sNapxi60/9fFCIeTmgZXkd0KjfYk2N
3wlB8S9V48PDiNkXuwVqE9GXVPmudTU11pi0m58Hi3JLb6xqjXbtNxMBwwFMomsfczBkP0yski8k
psx20/6xG1hBG7N7aDyOpH6PVrDvH4SNOQ/6+LSVcE3CmvTIPBkfCVInj9UAzWqX87vTLlBhqu6B
7Nv0kEnnOrCJcMjsHy1nulur+c79c3/9b4ftVx02CxHDD1tR+Na9/et3gcX1LSeH4Ir9IflX+JaV
3U/qsO8v/KPD5iN7wDoFXAEXoEtMPLKvP9VhOsIxQcwR1SaYw+86ij97bD6KMGZD/Fg3dapuzh9/
9tjs3ziX0xDjZcR5rG6p/6DPJlze/4eaht4aISkcKUzXNChEATH+tabBllO1xKaZN4uOR3HZSwjk
XRSWJlygub0ArPa3Vc72gb/QZoBGMbt81Dga42GUxqEdKu0GqVO/nWst38UEu21InmwvZUwN3Vj9
yatx3RKz4pzLvtA+1EVL4nYRa2eKTWD6Inc+UHhMT6CvCd/ry1TbG1UNKblN643TIuvi/0cGc12T
g+YPkbVPaz/a8HvDErZjHoTk4lh5czJ9wRm4ju7Hpb6d2HMIZoACDrLhULeVxRnDyzauck6GiMKo
ZyWgF/+lt42RDG463JRNQICtYr5ETRxvx45D86C/J5ojg1q12hZ0Ob0WNN97jLPYDGNzj0CseAHu
k26JRodsq8RWTc1tk82CXnrWvfGoW4QJ5N6msqvmYOUO758bzCjoYxA9Cj8EY7Z8wM9e8qjDmmVE
44Pkn9F/VtVwoOd228y+vqnbbNnmNSn3PbYQQIYVkae6bYXE/toIMvqJCbpqT5l0L4nhR7hA84fV
hrrtInfvozmukKgjETHJl/HxowkoFqEZ6XtNpsbGTuZnuwNnPXTrh6gyGkg92Es19/GmsTVnq7z+
c07mrTVN+amCv3auWO83ljlty8XdaVJVO3upC3JjmWVIYpiC2nYOfuSfOlzRGy8zq0AukfY8W7IM
LB2DV4tahbbANO2AXPmY4/L5aJZJ+uim1XJswSIyjR3rXTsZ9o752xy2ky5CUoXx8HgM53pH4Dtd
k72N9FM1VeIMQ/bIbDjfYHiow54ZW2CpeJ9YPdE7MPog+mrbLK0fy9Z59qblJjVHN4gHR+y0QjJS
1pdk71b522Knn6Coij2xqc1mZGq21f1UO9VEgAli/oAs+HbIPUHW5hQ446ogauJ7v0zLXb9mK5or
iT1j9DF4xrIRLXNFWjfHmqzVT7NYjE3WgBnXss9Muif6R16FJCSdD0zb8s2yFF6gkXa8kYR3hi7G
8ENCqxMX2DxtdMXfZUbzSsRpHmbuFIUOmyNxD3O9J1tIbEs66zsHueCOIPEn6s34Qs51vrO8z7Hf
6qeJEdDGxrjySAA71VTvJCJETi4f8gGcc9E6epDSTdtX0m8e9QJ4KJMCzIjwSkKUzxcCWtTOS7Nx
a0aJA3i/z0Pb1N1tMSGA7jAy3kmnWZCWZvnWaCF4A3M1w6Sz0tW45RwNfLsbnPjQxs0YWuRgnltN
pzJi5P0E3Zur6GEtMwU5OU7s40se2Z11m+20tVP9iaEX4GLNAEMxAJbrEoZ1fr8YQbNkxYdMs+Y7
Siv9ZODcsANEa9TlIDWTrVN5BCp0OTW9QiZpzSDR+FX7GxfyLf9QY5eXal+Sekx/+bMcnGSTFp46
DrWLONIbiClauJ7V0toHF99AIC392xQlXoiQH6T4sJiQK7oPuiePPfKRk7e4+Cca+4GQ+ZrwPAvS
m88AeRnRjQgx4TOr/fe+Uw8S+1lk9AwsiIvWU2mQraB9zcUy70A2n5vOvcEs1wXw/vajA2a/EEWx
g0MH5bNpK4DsgA5WEUZgCPlWlww2Y2/50JbmdHBXrT0yJi0Yvb7bcKCet6YsTciYNbdU7DSX2XR3
fW6++bWFTFSm1mZA3fYhMpN4w4Bj22MLYGSU7idRfx1aJK/uMkdXu0mtva4M4xSBcd+lyhzQAVQt
w3/YAqOfewfIHbeA6z45DnqmWKRHRBfP3ti6gSudbkOd5xwZoxePaD9emPPDoKzcr04yglwj0XpD
ivOjafRnV3TwUTzzJMsGZWhZqouiCir05k4lEahUK/E2MKm/QelFV+/TU7KXvtwL4pfCyJ6h4Y6d
ugEi2uzFhHDEtiL/oNIiaK3kkz97/iNjGaJgCuO8OCuVhTCIXeepIZw83rFYlkd0s/KOgOib1GAT
mrQICAlg/E1mxGrX0M0N9Nz+UGXY0xxIaue5bo9xgyRmQDzEdLo3AzgneogS2/mosul1jPr+4M7u
l7I3AdjFCiS42VFiF5O2g6dpb9x88G87Ndwx8gF1z9CMX3y8MKiPNp1N8yyPHsp0oavsyN1US6YN
jgDrmWgvvV+lQa1NXyzJ9NZSfQ8mfmlYayQjqChyDqy/8pQM1P+xxio3eqD/+sbL6SKY1p62g00S
7WjtTFVZm0lUxj5205dxkPZx0bzHuWthAdRNUGnxN0ur3JMqVLTT0CVwyHWMnV263tYQuX7yqhXC
LdjJF1bVXeM0HKa8ebEKRDk4zp6E7KI2457Var84oIWQotoQxeCV43NHDo7Lo1g7baqgU6gx924Z
8vhjFbjQPtaHrEyh/FqHmnRkIuXd1eH4ZPVjYZFYMM8NjQ06pyWrN02LBctMxtAosh+IKnGd5iOx
6MVSnADHt66/Scl/ce0ANozUElA1FR7p5veT+X/L61+U11TX61Hu/x5gv3xtu389yyaWhfxLff3H
K/+cYLtg65iiUBMbtskBkf/pH/W1Z/7m2MQ6CXwMqy2DifT/zLD13xzAedTVDGUtYveoev+ory33
N7rrzkqpovymkvL/k/ra+dmouDLEkSrBNUCNjN325wlIPItRAcNJmFG5/Rm2r01/16zaszWTRK5E
h14l6y3joTU0jGdk1euoKUKlG+MhSxot3ZJD4+6azm8+4JonDsZS/rP0OrVP8PgFluz98lxOdr3D
sNtl9EAT+8hk1212fdpHCzJ+MWKi92xlI4C1nXDwAbLYKG8PCChPhYd0OWjmuAlifAtPRtFSPA42
mzPZlK/+OD5jKqYpI8iselq6gVJmJLxQDpoediLt7zFOGSeUjkjKpqJd602C1TeLFtUP9lzLG15i
VGGju8O+KrV7GVVpCzwY4GRj1eVlGWdEma2lv/B4DcTh6PMjXCRrx+OK68lvGYP5y/rJ2a1bQlJQ
g0kjVTsmTrQ7k3HOP8SJTX1oQZ9NW37s6rVx9g35VGboc2KvGy6emHfeoLqNVuslEc4lTpVWiu5D
hmnjDnuDdR/RfkDy4jTC2JWELRAOSSx26PeRzxxuEAhRByNwyD4O+Z2zEKmn2IjSz+k1UuxGk/XS
Z1l1QFt344oZ0EqfkDG0EE5uzrpQoQvYidk3WlfaC4sANtSsnZbCWfPfly4gZPfgEwL7JFoAOEEl
F2OrDSalejpbOVaJwub7sPsbuKeAcvWPMiWqo+ezbKHoPEfkysMEbp5mjh8gR/XiUzOm8wm0s8th
zksAjjH8pgYNVRrHDy3WxCIcXLZQL82ZTBZsSFzlPHED4O8OkLDWucssLQq1xB0+Ir4z7zngpaDP
nekG9+LXjmwIapB5cbZRLeO7ZUzb0+QDJUsda8Mga7oB4UYjCxV5yPEvuqeX/Bq3JQrLzs2OpIpE
8ZmjlhruJ5J26zeOXu0n1JD9N5kOxr2TVzZC29r6kBE/FWp20d/YbVsDuh1yLtlY5c2lN/VP4yT6
q8boeGuO+ldiI2GljSWnOruoj0Mq+kBRpd3OyjXakIQJ7yM83/5x0fpykw6R2jo14LYN3sw+P+ii
t9Nd5JSFImR+HD8lMeAnMoB6iTpSq6n3s7QxgDYTtWG7HYIUqm/9figXKn490W+q2nfZK405uh+q
/8/duTW3bSRR+K+k8k4V7peHTdWSInWzFFt2IjsvLFpiCJAAAeIO/vr9hgBlAZJ8ybh2UYvKS0xq
CDYH3T3dp8/R3pam+mmfup+UJB8nCA9OE1sJ43MXhBlT+jBEJWe0zLQzZaVZd5BhfVjN46WiITEz
ZqQIEn3ERc/NoKD26QUcc+GoFYAAS6N9hO9ghdUY6LF3k5JuOJZbXkBYHkKlZxleNclXaaldp266
X505c7rRRPf4U+iP4vw2yWqbW0pn61E+f4sSUzRGeQt4baEXp2lhVbNccc9qQ/cuNpt9sXun7TUn
RNVADQHv5vUamm9lzbBRGkPnVimReY2YxHxqCzkaL5yr010M0s2yEfdUYeu4M5KwNlEuu9oq9ojj
beqdbZxAUA1po5kppG9cBRGcrbGGErwKNh8rE4mccL0rrxxEiYxtFlJRF3I6jlDW2SRr850XhZtp
LHR3LIavJk4B89d6F8J6JPR5gBTHZwX9mkmhhqvrsoA4fZKvRSInxH1M2OivKyUb/YnqgZcHNMY2
q9MQCaGAUmjkTKuRHs7W8ZVVV6iCVdZplKQaBODIC5lCaCgwlehaDfQdREZosSU0MXeoEpkHhaKN
VTh4qmT3TncT/QPVcqZBOYGcgl70ygmK7/XZ/KB65AoBpP3azcGA2uUVKlbwZSbFX/DVrentC+0k
03aTmWZa8NHvi5tgv6r/Bp5CxljY9oxiCKojCD7Q4p+nqMyhz2TZnrsZe9ZWFRWd/GIeMmEMI3GC
5mv+l+hrzMiGi3P0EsDsB/OIWmMWl0hCoR6Y3WtbIRTFHH76xhDqUQUyUisbBkddKEv5ikAfbZ31
WWAzFQfp4XkaOxxyCbDTrQ2gRhUaVRoTaxcQRCMW6G68C6vksGvZjsK0AbxdVMScWUpa+CZnZvKq
EjpYlRbczq09/cJ0ZZ+VsZtCyS9wVj7qyWNo9A3IH/C94KKCUxdimIsdfQXaWSD3T5VKf5sgFDSK
Kq2emDyi155Q7PKVyplsAmrp4H1cjqq+egmH53xW5rurKgx3nFSrlHmgpKKZGZdTJpzjN5kOAd1e
KIYle/czJSoGEMzkYeeukBfblJ/DkCO5otYojuWEGzVBgylJV+c5sgm0dJybAvJK2A71Gz2k8OLk
hfkOKFM4S0bpzape3+ZC6az01m/BwjiXAIk0nsbgZmWH+1llbZBIqxhmhN+sSC3KK2kCHstdIbhT
cIRLILz6A3GLelzm2PV2l/sr63JPWRpBtlRZRVONyJmMNb/iPJcpeg2lukFxSZlaW2evTL050hDv
EYp0Rx/LVKvqUx99mz29EPq7DDls6YAxghFQULChO6nPoaZ+b9oJWsn7Yk8qk24C46agEsG2MlX6
vWCfo7GiIi5VR2rFSSinGqdF2sg7jdfJ/k6P8+oujJTq0s7W6lVOPfBsV4+QgiS5B0Om1pviEuq2
EtcfbLFB4WXnDOTvp2qIx3Q2I2tRrwFSkc+tL6H8zfWxqdnhrbPPacgqIUpfOmRitluCi3JWDzst
H51BjmS+TWtnNyudHQCZJOPAF25xr5sdLPlj+ujVzFNWqz+Neh7T2IMdD0g2PQEXKT8wc3ujOFXA
WMEwmdPaJLrRLmQiR79K4jz0ppmWxFT1tBqVNma8CmVmpsS2sYO83nqS2rk/BqLsXdapugXV76QF
7BFenV8FMEnBDbqzSPyYukWRG7qD31UKbgjnZfudP9ugzjaNHHefnFLEsk43jFx+ogICvqhaK+t3
jpfsbtcufIXULmp/AjW/eZb682qWOIp1vlc9hol2G2qZQN0SG8WcpM7uApqFp/PUVd+Ea0eAGfnx
0R/wKRql5pmeoWlGsS6DZc3Zljp/78+pLukUJH0oIMcj6sRTvRqFN0ZtwfxIBrQLJiEg0wvDN5Q7
KGLWk1WszL3JKtcdaPZqY1uwXTJl4tOn+ojz3k91jAQ2Uv1sCDx8bZsK+mjkWzvKFAoTJnTjwKpl
+boec6zWJhndaYRRLA941w7tFHiLvHwKHOY6Nst45pZh9qbMbfPCopgmYPeO+S4NkhwpNnMbnBkg
S6ZUifVLJwfgfhpsjfqhYsbnL5ec+w+ttuyrOSxL1sSvC5sBV1Kz0/lKXbnXAPT0iVbbH7NQT+9q
2PBgHDSNGZquq4lWmcoF6AAotOjCW590tBNKpFgo+PoQohFLNPc6gLhzCQW74CDw1QX+1L/0y5FK
4dywPkK9kNYUBEObg/POp5TE2IRGrYACXr3N9NtcjfSpaTEwECHBMUXIALaSCt5OGMaKKwRqyhvm
/crb1AaxDaN7NVlTbhtHm9hb1DuYMABGRsZM9aPMGsdqDESN3uskjIBu6/NsRxecKp5WIEauQen8
Jk79/Y3DGfl9XKroduDP1wAw1fSDu1WCjytVCVYwBa5dgIyr+SXACOUSpbPdzGa/Xim7lfVOB+I+
KZU4utD2Ch+wN5mVEKK+9dZWyf0Va2qac1hJ7czb4JrD7ay0YvNsHYy2F5VCLh67QfkhSgJ9NmKu
Iot3aya7E4+OcVjcrG1bu8JJFLR4PR4Wu9BIWPB8+iaBe2i0i6cbtEtA2apMQsGJsRtHYcqznhjr
q9gnRwlCZUcClQX33sYyBZuGV059iI/+LrKofLBCarKTOHCr6wJCFn1WJkbUgLr+b87/7RcR3a/p
Ybr4Xb5M6ttlmgdZemw8iVffRv42+8AolxhB/tE3fX2htu32jYoCaY9gQuhUFA43dbiZr60RLLjn
/IGenqEAeqeYABVDczEpHdCMal/mFHcCUSA9MxsFbnE1JYwnRnrNDF//ho09v/6ezje4p1eWid9h
5Ufbp5PaAIe+zwa9Fb7YADlzEwSlaAs2NsCoT23g0ptUqWrQP2hs0Hzgf98GrwrBi+lvCjpSO0Fz
TqATEijA5ku69E2fWoHiEmrzukEP9tFKfOCArKBDpvide6FnyS97wWCeX4fDXGdyubl6VnBPUJvD
Tu5QrcCt8ctJbQUqgppp4BVUiCnF1XMKHGdgPYDuHW6qo5GGtRUgebO4aSkrwF/j6jCtwTrVWKHn
FmzzhJIuIB2qnIcLDNqwrABPokEJWMoKOrIrFIwNqCAaK/T2As5Rx0IECK2xwv8qQPQe6eUhLF88
/OtX6HefTY79aJjkiUAsBAi8ZT9+y6fO0XZORAwFs9W+3sTlITlHgXWR3AuGfWIAfTVFE+FwQQD5
1ArMBpyAQqcyB6BcXM0HDsgKGvSP4KWlnghSJkMlUAK+fXEvECh5hVMOI9iHa3B7QcOBN86qER56
zGZ/JHGE3ZoymGu3MFuRGD7dC45JoFRcNkobIgbnHRnofNaQ+1G/wF4AuS6SwzYG9JMml/lQByCc
Q1Q+XEOLETwRgkZX6omAzs2EndRgWqa5+jEC7wl9KR3G1m80CcqQ/AIsYLLeUVgBWmLbZNsfrp53
tNkLjknv1aLXKq7hPRHQX8huBeOE/QSK+JgU9YwAdP7EYp6EyarGCoMLEWLATfYUodOIZwAQwpCX
kyYHwTr4E21Dac/dgwsRAGRlI4SOXgE9dhNMQbPfe16BabMThl/FwXpoTpG8WZVNE+B4Y4rfBQDd
7gG+ZSdAisoLG4AnonEXg3MHGlaQrSoY1gnVexVWg3an9zYB/Hn0xmAk1ZpPGlJMUIGoS7pDMmbY
6kWuaDTPQG8TqMqBWlDVmPQY2kMAPF7658cHcGRiHqo9ECj8yk8fApeiEpqZTBW3D0ETfwa0C2D8
EBOWcvkR+Q/jBo4AZx2u57myxnwl6Py2qDQ4K3BqesYZ/KO5MmVWncMhzPUvn5tU1QK+RoJkC2kQ
rsGlBkyLadJREStoB1LkNlnuPRGHBMl2NA2M3+A8ApBD8jmpZ0GcmJjIFIQ5jUfsfX+bAqztAJtv
HYIgVOUDB+QRmL2Try2SHHAS4GQIp+zh6vrFppLSqhIP7PvrOuNbkruAsxLM3y4E4m1a0NsFjkgb
dE0UmZtdMjhfoDKp3uSt/7yGoisnAFg5CD72XLq7wBWMVIizak7rMYf3LKimCOlSHoHDEr8yXv9Y
InleQ+GwqHGMaPfC4PwiP6H0VsAInItx+70DM0+CY5BDQlr26CmG5Q8p6jQ1/3/+IECjZtqmapIq
Pz7uT9NEG+tABOMIjrWBeUOGVQ3ZH59OE46O7jNx8XD18kOY6ZinZRM4TfQdUDCEsq5xzf/8xycv
RAfCBstwdABdL0ifjZlhy9BVp7HO8PYAqb30SZFHgIaqyAxfzIvosxEqbA0rNa8PzwsyOS2dHaIZ
YlNHtuFhPFy987KrU0kmYKpK+/rgrMBJSUgeSkVEQz9hrIak4Phb96yAP2C6xtJwF42VmhA8ILdA
08ORzgvcE9E7Qpn0S5H0aVAgMhIR6Cgc+/PD8wsc6KWtYJxQQqRCAjHCS0+EqlgnzK0KLZ7B5cjk
bNIeQVSRcYzEhl5UsOiywhf1CMpqgvCQnoHnsiM/XDKhyUoNHcqLNjT2EgNRPtNdmtHHR2R4j8AL
tL0/agWyQ1DUgK7a+N9vNQt3KORkRVvpcP3AVviO/fII+pygdvxwgHv6y/QlwOdrbzjCHJ+/3kIc
BUxF4Bg7bxToz+azGyyL+P/fOiiXQ1XkyYvHKsnhc9o/b7/g84/ufNbxWx3/8dxfJgv05uvDC3V7
mw0NzL+DxedFuHiKwWwOQF/u5F+/du7zSTj8xsLppreuQe1Vet3E30fb7sKHTqf8wq8KB72uS/SY
GXzNFJNFALlv0hsEbqB9snc9iYIoWTxER8OKzde0++RX3m6X95kPb0Nn8cMBUXbx02WA4nqyfLpy
c/qQXtmHucO/z36J/v4F4+Th5+78NRRyP2EXzrC635XVa2G7svd/towYGu/u76aJLbvy6xr3kvv7
4mHhdTagirItblv2hi8g1YaqJD2uJPZ2i/ORXnr7AAd118pNliu9clT2lj0cpGSXvVo8EzWDYFM9
mubF4YLvck5X3Fl+v6mPKx2M3LTJZO/5TZQjZd03c1NqlV37euFvO96DxvPPCC/Xi6R+JjrQZL7y
t5ymi3svT5dZ1tnTbdVJen3/3vNXi+48RQMOlF+aWJD2meIaRIH82mnq818c+0/3IA1rUYz+GatH
6KscVzokZ00vXHrpaJv1NrfWoAxkV75Zfk4WveyJvoEoS8kv/ZocrGQQuFmWv5wvwjj1/G5Yb2so
8jde/nK5TNJlx1MxGiCamD9j8etl5d93whiLixP/z1j8U5RsjisdtmAz0iC99IHEcbJIIiJlJ+xo
DQby53zA6yyRkpvmd8/vWrxBdMve9e+bgIyke6ppobHSSyfLVX9k7dBBll347XK7RR+9WPSOCe1c
oOzy3xLUkfwh30c5bKIvbcQWfSd7/80HPN+IYnnqKLLLf8D6yzRddlKKtjcuv3a16MT7dpJHdt0/
UJE8fnPhU1pAi+yyfy6TkMjWWZlQ/BMc4Yt0WM08j+xN3y2IO9sVLE3d+z6MyUgv/i0uL8mH585P
76Nt6nfvvZl/lL73OgoxTMcqQsb4+A+vHRxeqjQ9Anee15+OE8Av/Vm3uCbecR8sF8lv/wEAAP//
</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image" Target="../media/image1.emf"/><Relationship Id="rId12"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microsoft.com/office/2014/relationships/chartEx" Target="../charts/chartEx1.xml"/><Relationship Id="rId11"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image" Target="../media/image4.emf"/><Relationship Id="rId4" Type="http://schemas.openxmlformats.org/officeDocument/2006/relationships/chart" Target="../charts/chart5.xml"/><Relationship Id="rId9" Type="http://schemas.openxmlformats.org/officeDocument/2006/relationships/image" Target="../media/image3.emf"/><Relationship Id="rId14"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41</xdr:col>
      <xdr:colOff>330200</xdr:colOff>
      <xdr:row>2</xdr:row>
      <xdr:rowOff>25401</xdr:rowOff>
    </xdr:from>
    <xdr:to>
      <xdr:col>45</xdr:col>
      <xdr:colOff>160867</xdr:colOff>
      <xdr:row>10</xdr:row>
      <xdr:rowOff>118533</xdr:rowOff>
    </xdr:to>
    <xdr:sp macro="" textlink="$AK$11">
      <xdr:nvSpPr>
        <xdr:cNvPr id="9" name="Rectangle 8">
          <a:extLst>
            <a:ext uri="{FF2B5EF4-FFF2-40B4-BE49-F238E27FC236}">
              <a16:creationId xmlns:a16="http://schemas.microsoft.com/office/drawing/2014/main" id="{519AA21B-FA8A-DADF-9F26-16B57D0C6740}"/>
            </a:ext>
          </a:extLst>
        </xdr:cNvPr>
        <xdr:cNvSpPr/>
      </xdr:nvSpPr>
      <xdr:spPr>
        <a:xfrm>
          <a:off x="40284400" y="397934"/>
          <a:ext cx="2590800" cy="15832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5E57590C-D877-4722-B977-5A7A99320BBB}" type="TxLink">
            <a:rPr lang="en-US" sz="1100" b="0" i="0" u="none" strike="noStrike">
              <a:solidFill>
                <a:srgbClr val="000000"/>
              </a:solidFill>
              <a:latin typeface="Calibri"/>
              <a:ea typeface="Calibri"/>
              <a:cs typeface="Calibri"/>
            </a:rPr>
            <a:pPr algn="r"/>
            <a:t>🔽12.28%</a:t>
          </a:fld>
          <a:endParaRPr lang="en-US" sz="1100"/>
        </a:p>
      </xdr:txBody>
    </xdr:sp>
    <xdr:clientData/>
  </xdr:twoCellAnchor>
  <xdr:twoCellAnchor>
    <xdr:from>
      <xdr:col>42</xdr:col>
      <xdr:colOff>448734</xdr:colOff>
      <xdr:row>2</xdr:row>
      <xdr:rowOff>84667</xdr:rowOff>
    </xdr:from>
    <xdr:to>
      <xdr:col>44</xdr:col>
      <xdr:colOff>152401</xdr:colOff>
      <xdr:row>3</xdr:row>
      <xdr:rowOff>118533</xdr:rowOff>
    </xdr:to>
    <xdr:sp macro="" textlink="">
      <xdr:nvSpPr>
        <xdr:cNvPr id="10" name="TextBox 9">
          <a:extLst>
            <a:ext uri="{FF2B5EF4-FFF2-40B4-BE49-F238E27FC236}">
              <a16:creationId xmlns:a16="http://schemas.microsoft.com/office/drawing/2014/main" id="{F17FF5BD-1C38-914A-F2EB-A495ABF89BDD}"/>
            </a:ext>
          </a:extLst>
        </xdr:cNvPr>
        <xdr:cNvSpPr txBox="1"/>
      </xdr:nvSpPr>
      <xdr:spPr>
        <a:xfrm>
          <a:off x="41054867" y="457200"/>
          <a:ext cx="1159934" cy="220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Total</a:t>
          </a:r>
          <a:r>
            <a:rPr lang="en-US" sz="1600" baseline="0"/>
            <a:t> Sales</a:t>
          </a:r>
          <a:endParaRPr lang="en-US" sz="1600"/>
        </a:p>
      </xdr:txBody>
    </xdr:sp>
    <xdr:clientData/>
  </xdr:twoCellAnchor>
  <xdr:twoCellAnchor>
    <xdr:from>
      <xdr:col>42</xdr:col>
      <xdr:colOff>431801</xdr:colOff>
      <xdr:row>4</xdr:row>
      <xdr:rowOff>1</xdr:rowOff>
    </xdr:from>
    <xdr:to>
      <xdr:col>44</xdr:col>
      <xdr:colOff>118534</xdr:colOff>
      <xdr:row>5</xdr:row>
      <xdr:rowOff>25401</xdr:rowOff>
    </xdr:to>
    <xdr:sp macro="" textlink="$AK$9">
      <xdr:nvSpPr>
        <xdr:cNvPr id="11" name="TextBox 10">
          <a:extLst>
            <a:ext uri="{FF2B5EF4-FFF2-40B4-BE49-F238E27FC236}">
              <a16:creationId xmlns:a16="http://schemas.microsoft.com/office/drawing/2014/main" id="{C3E7AF4F-B41E-26B9-240A-B4D31D8FEF90}"/>
            </a:ext>
          </a:extLst>
        </xdr:cNvPr>
        <xdr:cNvSpPr txBox="1"/>
      </xdr:nvSpPr>
      <xdr:spPr>
        <a:xfrm>
          <a:off x="41037934" y="745068"/>
          <a:ext cx="1143000" cy="2116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4977CE8-F817-4E18-B728-C678270A7B65}" type="TxLink">
            <a:rPr lang="en-US" sz="1100" b="0" i="0" u="none" strike="noStrike">
              <a:solidFill>
                <a:srgbClr val="000000"/>
              </a:solidFill>
              <a:latin typeface="Calibri"/>
              <a:ea typeface="Calibri"/>
              <a:cs typeface="Calibri"/>
            </a:rPr>
            <a:pPr algn="ctr"/>
            <a:t>10554.944</a:t>
          </a:fld>
          <a:endParaRPr lang="en-US" sz="1100"/>
        </a:p>
      </xdr:txBody>
    </xdr:sp>
    <xdr:clientData/>
  </xdr:twoCellAnchor>
  <xdr:twoCellAnchor>
    <xdr:from>
      <xdr:col>42</xdr:col>
      <xdr:colOff>677334</xdr:colOff>
      <xdr:row>5</xdr:row>
      <xdr:rowOff>169333</xdr:rowOff>
    </xdr:from>
    <xdr:to>
      <xdr:col>43</xdr:col>
      <xdr:colOff>550333</xdr:colOff>
      <xdr:row>6</xdr:row>
      <xdr:rowOff>160866</xdr:rowOff>
    </xdr:to>
    <xdr:sp macro="" textlink="">
      <xdr:nvSpPr>
        <xdr:cNvPr id="13" name="TextBox 12">
          <a:extLst>
            <a:ext uri="{FF2B5EF4-FFF2-40B4-BE49-F238E27FC236}">
              <a16:creationId xmlns:a16="http://schemas.microsoft.com/office/drawing/2014/main" id="{B6DA24DE-B462-CEFA-473B-95514EB30628}"/>
            </a:ext>
          </a:extLst>
        </xdr:cNvPr>
        <xdr:cNvSpPr txBox="1"/>
      </xdr:nvSpPr>
      <xdr:spPr>
        <a:xfrm>
          <a:off x="41283467" y="1100666"/>
          <a:ext cx="601133"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YOY</a:t>
          </a:r>
        </a:p>
      </xdr:txBody>
    </xdr:sp>
    <xdr:clientData/>
  </xdr:twoCellAnchor>
  <xdr:twoCellAnchor>
    <xdr:from>
      <xdr:col>0</xdr:col>
      <xdr:colOff>22225</xdr:colOff>
      <xdr:row>10</xdr:row>
      <xdr:rowOff>120650</xdr:rowOff>
    </xdr:from>
    <xdr:to>
      <xdr:col>4</xdr:col>
      <xdr:colOff>809625</xdr:colOff>
      <xdr:row>25</xdr:row>
      <xdr:rowOff>88900</xdr:rowOff>
    </xdr:to>
    <xdr:graphicFrame macro="">
      <xdr:nvGraphicFramePr>
        <xdr:cNvPr id="22" name="Chart 21">
          <a:extLst>
            <a:ext uri="{FF2B5EF4-FFF2-40B4-BE49-F238E27FC236}">
              <a16:creationId xmlns:a16="http://schemas.microsoft.com/office/drawing/2014/main" id="{3F768C51-44FE-5C17-26AF-197FBA6D0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55217</xdr:colOff>
      <xdr:row>35</xdr:row>
      <xdr:rowOff>147246</xdr:rowOff>
    </xdr:to>
    <xdr:grpSp>
      <xdr:nvGrpSpPr>
        <xdr:cNvPr id="74" name="Group 73">
          <a:extLst>
            <a:ext uri="{FF2B5EF4-FFF2-40B4-BE49-F238E27FC236}">
              <a16:creationId xmlns:a16="http://schemas.microsoft.com/office/drawing/2014/main" id="{0765FE81-D4CF-A3B7-D112-873F05BB9188}"/>
            </a:ext>
          </a:extLst>
        </xdr:cNvPr>
        <xdr:cNvGrpSpPr/>
      </xdr:nvGrpSpPr>
      <xdr:grpSpPr>
        <a:xfrm>
          <a:off x="0" y="0"/>
          <a:ext cx="17062174" cy="6589275"/>
          <a:chOff x="0" y="-18071"/>
          <a:chExt cx="14826603" cy="7784583"/>
        </a:xfrm>
      </xdr:grpSpPr>
      <xdr:sp macro="" textlink="">
        <xdr:nvSpPr>
          <xdr:cNvPr id="8" name="Rectangle 7">
            <a:extLst>
              <a:ext uri="{FF2B5EF4-FFF2-40B4-BE49-F238E27FC236}">
                <a16:creationId xmlns:a16="http://schemas.microsoft.com/office/drawing/2014/main" id="{C715ED01-192B-45AE-B212-02119DAC5613}"/>
              </a:ext>
            </a:extLst>
          </xdr:cNvPr>
          <xdr:cNvSpPr/>
        </xdr:nvSpPr>
        <xdr:spPr>
          <a:xfrm>
            <a:off x="8457769" y="1092631"/>
            <a:ext cx="2851473" cy="1608594"/>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9" name="Rectangle 8">
            <a:extLst>
              <a:ext uri="{FF2B5EF4-FFF2-40B4-BE49-F238E27FC236}">
                <a16:creationId xmlns:a16="http://schemas.microsoft.com/office/drawing/2014/main" id="{FF621B5E-719E-4563-8A5E-63EC864EDE68}"/>
              </a:ext>
            </a:extLst>
          </xdr:cNvPr>
          <xdr:cNvSpPr/>
        </xdr:nvSpPr>
        <xdr:spPr>
          <a:xfrm>
            <a:off x="8222819" y="1048181"/>
            <a:ext cx="2851473" cy="1608594"/>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10" name="Rectangle 9">
            <a:extLst>
              <a:ext uri="{FF2B5EF4-FFF2-40B4-BE49-F238E27FC236}">
                <a16:creationId xmlns:a16="http://schemas.microsoft.com/office/drawing/2014/main" id="{89AFF160-34CE-4620-9F05-EBA72C3BC51F}"/>
              </a:ext>
            </a:extLst>
          </xdr:cNvPr>
          <xdr:cNvSpPr/>
        </xdr:nvSpPr>
        <xdr:spPr>
          <a:xfrm>
            <a:off x="5447547" y="322666"/>
            <a:ext cx="2851472" cy="1608595"/>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11" name="Rectangle 10">
            <a:extLst>
              <a:ext uri="{FF2B5EF4-FFF2-40B4-BE49-F238E27FC236}">
                <a16:creationId xmlns:a16="http://schemas.microsoft.com/office/drawing/2014/main" id="{1F8C8AAF-E84C-4106-A58E-55782AF4A063}"/>
              </a:ext>
            </a:extLst>
          </xdr:cNvPr>
          <xdr:cNvSpPr/>
        </xdr:nvSpPr>
        <xdr:spPr>
          <a:xfrm>
            <a:off x="6420496" y="2373393"/>
            <a:ext cx="2851473" cy="1608595"/>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12" name="Rectangle 11">
            <a:extLst>
              <a:ext uri="{FF2B5EF4-FFF2-40B4-BE49-F238E27FC236}">
                <a16:creationId xmlns:a16="http://schemas.microsoft.com/office/drawing/2014/main" id="{748E8B50-41D2-4301-BC4B-A36DECD3F1B6}"/>
              </a:ext>
            </a:extLst>
          </xdr:cNvPr>
          <xdr:cNvSpPr/>
        </xdr:nvSpPr>
        <xdr:spPr>
          <a:xfrm>
            <a:off x="5902271" y="2265443"/>
            <a:ext cx="2851473" cy="1608595"/>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grpSp>
        <xdr:nvGrpSpPr>
          <xdr:cNvPr id="16" name="Group 15">
            <a:extLst>
              <a:ext uri="{FF2B5EF4-FFF2-40B4-BE49-F238E27FC236}">
                <a16:creationId xmlns:a16="http://schemas.microsoft.com/office/drawing/2014/main" id="{9B84A485-7D7F-6868-8C86-8C8FB074CCD6}"/>
              </a:ext>
            </a:extLst>
          </xdr:cNvPr>
          <xdr:cNvGrpSpPr/>
        </xdr:nvGrpSpPr>
        <xdr:grpSpPr>
          <a:xfrm>
            <a:off x="0" y="75586"/>
            <a:ext cx="14826603" cy="7690926"/>
            <a:chOff x="-19050" y="42375"/>
            <a:chExt cx="13114177" cy="4311650"/>
          </a:xfrm>
        </xdr:grpSpPr>
        <xdr:sp macro="" textlink="">
          <xdr:nvSpPr>
            <xdr:cNvPr id="2" name="Rectangle 1">
              <a:extLst>
                <a:ext uri="{FF2B5EF4-FFF2-40B4-BE49-F238E27FC236}">
                  <a16:creationId xmlns:a16="http://schemas.microsoft.com/office/drawing/2014/main" id="{81C5E35A-D7D0-B1E4-5927-1059F57E2FB5}"/>
                </a:ext>
              </a:extLst>
            </xdr:cNvPr>
            <xdr:cNvSpPr/>
          </xdr:nvSpPr>
          <xdr:spPr>
            <a:xfrm>
              <a:off x="-17623" y="42375"/>
              <a:ext cx="13112750" cy="431165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3" name="Rectangle 2">
              <a:extLst>
                <a:ext uri="{FF2B5EF4-FFF2-40B4-BE49-F238E27FC236}">
                  <a16:creationId xmlns:a16="http://schemas.microsoft.com/office/drawing/2014/main" id="{E825AE86-708F-B935-2808-62B6EBD0EF21}"/>
                </a:ext>
              </a:extLst>
            </xdr:cNvPr>
            <xdr:cNvSpPr/>
          </xdr:nvSpPr>
          <xdr:spPr>
            <a:xfrm>
              <a:off x="-19050" y="2217243"/>
              <a:ext cx="3649901" cy="1338313"/>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graphicFrame macro="">
          <xdr:nvGraphicFramePr>
            <xdr:cNvPr id="13" name="Chart 12">
              <a:extLst>
                <a:ext uri="{FF2B5EF4-FFF2-40B4-BE49-F238E27FC236}">
                  <a16:creationId xmlns:a16="http://schemas.microsoft.com/office/drawing/2014/main" id="{4DCC3D68-187C-4079-B72A-EC47B1C729EC}"/>
                </a:ext>
              </a:extLst>
            </xdr:cNvPr>
            <xdr:cNvGraphicFramePr>
              <a:graphicFrameLocks/>
            </xdr:cNvGraphicFramePr>
          </xdr:nvGraphicFramePr>
          <xdr:xfrm>
            <a:off x="-19049" y="2428314"/>
            <a:ext cx="3492965" cy="100246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4" name="TextBox 13">
              <a:extLst>
                <a:ext uri="{FF2B5EF4-FFF2-40B4-BE49-F238E27FC236}">
                  <a16:creationId xmlns:a16="http://schemas.microsoft.com/office/drawing/2014/main" id="{BEFF261B-7824-9500-12CE-2985E0EFE372}"/>
                </a:ext>
              </a:extLst>
            </xdr:cNvPr>
            <xdr:cNvSpPr txBox="1"/>
          </xdr:nvSpPr>
          <xdr:spPr>
            <a:xfrm>
              <a:off x="633996" y="2272855"/>
              <a:ext cx="177704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rPr>
                <a:t>Sales</a:t>
              </a:r>
              <a:r>
                <a:rPr lang="en-US" sz="1400" baseline="0">
                  <a:solidFill>
                    <a:schemeClr val="bg1"/>
                  </a:solidFill>
                </a:rPr>
                <a:t> By Category</a:t>
              </a:r>
              <a:endParaRPr lang="en-US" sz="1400">
                <a:solidFill>
                  <a:schemeClr val="bg1"/>
                </a:solidFill>
              </a:endParaRPr>
            </a:p>
          </xdr:txBody>
        </xdr:sp>
      </xdr:grpSp>
      <xdr:sp macro="" textlink="">
        <xdr:nvSpPr>
          <xdr:cNvPr id="17" name="Rectangle 16">
            <a:extLst>
              <a:ext uri="{FF2B5EF4-FFF2-40B4-BE49-F238E27FC236}">
                <a16:creationId xmlns:a16="http://schemas.microsoft.com/office/drawing/2014/main" id="{7EC5BE0B-EC0B-4958-B77D-BFE142111CC9}"/>
              </a:ext>
            </a:extLst>
          </xdr:cNvPr>
          <xdr:cNvSpPr/>
        </xdr:nvSpPr>
        <xdr:spPr>
          <a:xfrm>
            <a:off x="8013083" y="3963188"/>
            <a:ext cx="6786507" cy="2379051"/>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18" name="Rectangle 17">
            <a:extLst>
              <a:ext uri="{FF2B5EF4-FFF2-40B4-BE49-F238E27FC236}">
                <a16:creationId xmlns:a16="http://schemas.microsoft.com/office/drawing/2014/main" id="{076B0C5A-0289-4DBA-86B0-D10757192D1F}"/>
              </a:ext>
            </a:extLst>
          </xdr:cNvPr>
          <xdr:cNvSpPr/>
        </xdr:nvSpPr>
        <xdr:spPr>
          <a:xfrm>
            <a:off x="4142492" y="3963189"/>
            <a:ext cx="3850558" cy="2368177"/>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graphicFrame macro="">
        <xdr:nvGraphicFramePr>
          <xdr:cNvPr id="19" name="Chart 18">
            <a:extLst>
              <a:ext uri="{FF2B5EF4-FFF2-40B4-BE49-F238E27FC236}">
                <a16:creationId xmlns:a16="http://schemas.microsoft.com/office/drawing/2014/main" id="{2FC9733A-DFCD-4BD8-BD93-6B45F5598B52}"/>
              </a:ext>
            </a:extLst>
          </xdr:cNvPr>
          <xdr:cNvGraphicFramePr>
            <a:graphicFrameLocks/>
          </xdr:cNvGraphicFramePr>
        </xdr:nvGraphicFramePr>
        <xdr:xfrm>
          <a:off x="4143077" y="4020389"/>
          <a:ext cx="3818285" cy="214911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0" name="Chart 19">
            <a:extLst>
              <a:ext uri="{FF2B5EF4-FFF2-40B4-BE49-F238E27FC236}">
                <a16:creationId xmlns:a16="http://schemas.microsoft.com/office/drawing/2014/main" id="{B068D87C-EDAC-4F1E-A513-D1BB32134EB8}"/>
              </a:ext>
            </a:extLst>
          </xdr:cNvPr>
          <xdr:cNvGraphicFramePr>
            <a:graphicFrameLocks/>
          </xdr:cNvGraphicFramePr>
        </xdr:nvGraphicFramePr>
        <xdr:xfrm>
          <a:off x="8021081" y="4037304"/>
          <a:ext cx="6772159" cy="2091246"/>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1" name="Rectangle 20">
            <a:extLst>
              <a:ext uri="{FF2B5EF4-FFF2-40B4-BE49-F238E27FC236}">
                <a16:creationId xmlns:a16="http://schemas.microsoft.com/office/drawing/2014/main" id="{EC29155D-C73B-4B9B-A719-D52ED7A0E371}"/>
              </a:ext>
            </a:extLst>
          </xdr:cNvPr>
          <xdr:cNvSpPr/>
        </xdr:nvSpPr>
        <xdr:spPr>
          <a:xfrm>
            <a:off x="4126499" y="1871278"/>
            <a:ext cx="3878587" cy="2068177"/>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22" name="Rectangle 21">
            <a:extLst>
              <a:ext uri="{FF2B5EF4-FFF2-40B4-BE49-F238E27FC236}">
                <a16:creationId xmlns:a16="http://schemas.microsoft.com/office/drawing/2014/main" id="{C6D4228C-4802-47A2-831E-865C19F26B67}"/>
              </a:ext>
            </a:extLst>
          </xdr:cNvPr>
          <xdr:cNvSpPr/>
        </xdr:nvSpPr>
        <xdr:spPr>
          <a:xfrm>
            <a:off x="0" y="1861411"/>
            <a:ext cx="4110504" cy="2060920"/>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graphicFrame macro="">
        <xdr:nvGraphicFramePr>
          <xdr:cNvPr id="23" name="Chart 22">
            <a:extLst>
              <a:ext uri="{FF2B5EF4-FFF2-40B4-BE49-F238E27FC236}">
                <a16:creationId xmlns:a16="http://schemas.microsoft.com/office/drawing/2014/main" id="{6E8D9702-D9AA-4C70-B566-886CD9137FBA}"/>
              </a:ext>
            </a:extLst>
          </xdr:cNvPr>
          <xdr:cNvGraphicFramePr>
            <a:graphicFrameLocks/>
          </xdr:cNvGraphicFramePr>
        </xdr:nvGraphicFramePr>
        <xdr:xfrm>
          <a:off x="4103471" y="1887747"/>
          <a:ext cx="3834128" cy="198555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4" name="Chart 23">
            <a:extLst>
              <a:ext uri="{FF2B5EF4-FFF2-40B4-BE49-F238E27FC236}">
                <a16:creationId xmlns:a16="http://schemas.microsoft.com/office/drawing/2014/main" id="{4D29A737-6075-4F98-B88F-11CC7E9A47F8}"/>
              </a:ext>
            </a:extLst>
          </xdr:cNvPr>
          <xdr:cNvGraphicFramePr>
            <a:graphicFrameLocks/>
          </xdr:cNvGraphicFramePr>
        </xdr:nvGraphicFramePr>
        <xdr:xfrm>
          <a:off x="83744" y="1959469"/>
          <a:ext cx="3776098" cy="2018977"/>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6" name="Rectangle 25">
            <a:extLst>
              <a:ext uri="{FF2B5EF4-FFF2-40B4-BE49-F238E27FC236}">
                <a16:creationId xmlns:a16="http://schemas.microsoft.com/office/drawing/2014/main" id="{0408542C-E48C-43E6-B02D-279F30EA58C2}"/>
              </a:ext>
            </a:extLst>
          </xdr:cNvPr>
          <xdr:cNvSpPr/>
        </xdr:nvSpPr>
        <xdr:spPr>
          <a:xfrm>
            <a:off x="8021079" y="1871277"/>
            <a:ext cx="6765538" cy="2068178"/>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F698CBD3-961E-4F92-AE6B-260D48E468D5}"/>
                  </a:ext>
                </a:extLst>
              </xdr:cNvPr>
              <xdr:cNvGraphicFramePr/>
            </xdr:nvGraphicFramePr>
            <xdr:xfrm>
              <a:off x="7461283" y="1849074"/>
              <a:ext cx="6960023" cy="2166487"/>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461283" y="1849074"/>
                <a:ext cx="6960023" cy="21664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30" name="Rectangle 29">
            <a:extLst>
              <a:ext uri="{FF2B5EF4-FFF2-40B4-BE49-F238E27FC236}">
                <a16:creationId xmlns:a16="http://schemas.microsoft.com/office/drawing/2014/main" id="{97402011-7188-4B40-A8B6-14FD765AA89D}"/>
              </a:ext>
            </a:extLst>
          </xdr:cNvPr>
          <xdr:cNvSpPr/>
        </xdr:nvSpPr>
        <xdr:spPr>
          <a:xfrm>
            <a:off x="12303817" y="-18071"/>
            <a:ext cx="2481187" cy="1848295"/>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41" name="Rectangle 40">
            <a:extLst>
              <a:ext uri="{FF2B5EF4-FFF2-40B4-BE49-F238E27FC236}">
                <a16:creationId xmlns:a16="http://schemas.microsoft.com/office/drawing/2014/main" id="{631E2422-C69A-4FBA-9A96-C2B11DBC1DC0}"/>
              </a:ext>
            </a:extLst>
          </xdr:cNvPr>
          <xdr:cNvSpPr/>
        </xdr:nvSpPr>
        <xdr:spPr>
          <a:xfrm>
            <a:off x="9774993" y="-18071"/>
            <a:ext cx="2516533" cy="1859168"/>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42" name="Rectangle 41">
            <a:extLst>
              <a:ext uri="{FF2B5EF4-FFF2-40B4-BE49-F238E27FC236}">
                <a16:creationId xmlns:a16="http://schemas.microsoft.com/office/drawing/2014/main" id="{823B5EE8-4FE4-49D6-B4F7-23BF855F4C12}"/>
              </a:ext>
            </a:extLst>
          </xdr:cNvPr>
          <xdr:cNvSpPr/>
        </xdr:nvSpPr>
        <xdr:spPr>
          <a:xfrm>
            <a:off x="4752924" y="-18071"/>
            <a:ext cx="2492438" cy="1870041"/>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43" name="Rectangle 42">
            <a:extLst>
              <a:ext uri="{FF2B5EF4-FFF2-40B4-BE49-F238E27FC236}">
                <a16:creationId xmlns:a16="http://schemas.microsoft.com/office/drawing/2014/main" id="{212BC013-2A2E-4567-9033-244DE53E76F9}"/>
              </a:ext>
            </a:extLst>
          </xdr:cNvPr>
          <xdr:cNvSpPr/>
        </xdr:nvSpPr>
        <xdr:spPr>
          <a:xfrm>
            <a:off x="7261357" y="-7199"/>
            <a:ext cx="2485321" cy="1859167"/>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44" name="TextBox 43">
            <a:extLst>
              <a:ext uri="{FF2B5EF4-FFF2-40B4-BE49-F238E27FC236}">
                <a16:creationId xmlns:a16="http://schemas.microsoft.com/office/drawing/2014/main" id="{ACA9A41A-24E3-4E9C-1942-5B8D91017CE7}"/>
              </a:ext>
            </a:extLst>
          </xdr:cNvPr>
          <xdr:cNvSpPr txBox="1"/>
        </xdr:nvSpPr>
        <xdr:spPr>
          <a:xfrm>
            <a:off x="5388338" y="94391"/>
            <a:ext cx="1175462" cy="31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rPr>
              <a:t>Total Sales </a:t>
            </a:r>
          </a:p>
        </xdr:txBody>
      </xdr:sp>
      <xdr:sp macro="" textlink="">
        <xdr:nvSpPr>
          <xdr:cNvPr id="45" name="TextBox 44">
            <a:extLst>
              <a:ext uri="{FF2B5EF4-FFF2-40B4-BE49-F238E27FC236}">
                <a16:creationId xmlns:a16="http://schemas.microsoft.com/office/drawing/2014/main" id="{934AE29F-E072-40FD-9788-497F47D51EF2}"/>
              </a:ext>
            </a:extLst>
          </xdr:cNvPr>
          <xdr:cNvSpPr txBox="1"/>
        </xdr:nvSpPr>
        <xdr:spPr>
          <a:xfrm>
            <a:off x="12932391" y="135238"/>
            <a:ext cx="1460700" cy="350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rPr>
              <a:t>Total Quantity</a:t>
            </a:r>
          </a:p>
        </xdr:txBody>
      </xdr:sp>
      <xdr:sp macro="" textlink="">
        <xdr:nvSpPr>
          <xdr:cNvPr id="46" name="TextBox 45">
            <a:extLst>
              <a:ext uri="{FF2B5EF4-FFF2-40B4-BE49-F238E27FC236}">
                <a16:creationId xmlns:a16="http://schemas.microsoft.com/office/drawing/2014/main" id="{0BF8C373-740E-4991-B984-BC934A10B3B6}"/>
              </a:ext>
            </a:extLst>
          </xdr:cNvPr>
          <xdr:cNvSpPr txBox="1"/>
        </xdr:nvSpPr>
        <xdr:spPr>
          <a:xfrm>
            <a:off x="8013955" y="141759"/>
            <a:ext cx="1094016" cy="31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rPr>
              <a:t>Total Cost</a:t>
            </a:r>
          </a:p>
        </xdr:txBody>
      </xdr:sp>
      <xdr:sp macro="" textlink="">
        <xdr:nvSpPr>
          <xdr:cNvPr id="47" name="TextBox 46">
            <a:extLst>
              <a:ext uri="{FF2B5EF4-FFF2-40B4-BE49-F238E27FC236}">
                <a16:creationId xmlns:a16="http://schemas.microsoft.com/office/drawing/2014/main" id="{149F7D34-720D-418B-8549-47B7DB85D821}"/>
              </a:ext>
            </a:extLst>
          </xdr:cNvPr>
          <xdr:cNvSpPr txBox="1"/>
        </xdr:nvSpPr>
        <xdr:spPr>
          <a:xfrm>
            <a:off x="10508698" y="131119"/>
            <a:ext cx="1173061" cy="329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rPr>
              <a:t>Total Profit</a:t>
            </a:r>
          </a:p>
        </xdr:txBody>
      </xdr:sp>
      <xdr:sp macro="" textlink="Sheet1!AK9">
        <xdr:nvSpPr>
          <xdr:cNvPr id="48" name="TextBox 47">
            <a:extLst>
              <a:ext uri="{FF2B5EF4-FFF2-40B4-BE49-F238E27FC236}">
                <a16:creationId xmlns:a16="http://schemas.microsoft.com/office/drawing/2014/main" id="{BB578DB2-D943-D827-6D6D-6A81DA8FFA2C}"/>
              </a:ext>
            </a:extLst>
          </xdr:cNvPr>
          <xdr:cNvSpPr txBox="1"/>
        </xdr:nvSpPr>
        <xdr:spPr>
          <a:xfrm>
            <a:off x="5319689" y="486068"/>
            <a:ext cx="1295597" cy="305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DCB05C-355E-4F95-919F-EE10EA347FEB}" type="TxLink">
              <a:rPr lang="en-US" sz="1400" b="0" i="0" u="none" strike="noStrike">
                <a:solidFill>
                  <a:schemeClr val="bg1"/>
                </a:solidFill>
                <a:latin typeface="Calibri"/>
                <a:ea typeface="Calibri"/>
                <a:cs typeface="Calibri"/>
              </a:rPr>
              <a:pPr algn="ctr"/>
              <a:t>10554.944</a:t>
            </a:fld>
            <a:endParaRPr lang="en-US" sz="1400">
              <a:solidFill>
                <a:schemeClr val="bg1"/>
              </a:solidFill>
            </a:endParaRPr>
          </a:p>
        </xdr:txBody>
      </xdr:sp>
      <mc:AlternateContent xmlns:mc="http://schemas.openxmlformats.org/markup-compatibility/2006" xmlns:a14="http://schemas.microsoft.com/office/drawing/2010/main">
        <mc:Choice Requires="a14">
          <xdr:pic>
            <xdr:nvPicPr>
              <xdr:cNvPr id="52" name="Picture 51">
                <a:extLst>
                  <a:ext uri="{FF2B5EF4-FFF2-40B4-BE49-F238E27FC236}">
                    <a16:creationId xmlns:a16="http://schemas.microsoft.com/office/drawing/2014/main" id="{218FCEBF-6384-0738-64D9-4E9FFD3EBB5C}"/>
                  </a:ext>
                </a:extLst>
              </xdr:cNvPr>
              <xdr:cNvPicPr>
                <a:picLocks noChangeAspect="1" noChangeArrowheads="1"/>
                <a:extLst>
                  <a:ext uri="{84589F7E-364E-4C9E-8A38-B11213B215E9}">
                    <a14:cameraTool cellRange="Sheet1!AK11" spid="_x0000_s2121"/>
                  </a:ext>
                </a:extLst>
              </xdr:cNvPicPr>
            </xdr:nvPicPr>
            <xdr:blipFill>
              <a:blip xmlns:r="http://schemas.openxmlformats.org/officeDocument/2006/relationships" r:embed="rId7"/>
              <a:srcRect/>
              <a:stretch>
                <a:fillRect/>
              </a:stretch>
            </xdr:blipFill>
            <xdr:spPr bwMode="auto">
              <a:xfrm>
                <a:off x="5890257" y="1366573"/>
                <a:ext cx="1344812" cy="348770"/>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53" name="Picture 52">
                <a:extLst>
                  <a:ext uri="{FF2B5EF4-FFF2-40B4-BE49-F238E27FC236}">
                    <a16:creationId xmlns:a16="http://schemas.microsoft.com/office/drawing/2014/main" id="{538A734A-BDBB-0782-1771-7A85F769FA40}"/>
                  </a:ext>
                </a:extLst>
              </xdr:cNvPr>
              <xdr:cNvPicPr>
                <a:picLocks noChangeAspect="1" noChangeArrowheads="1"/>
                <a:extLst>
                  <a:ext uri="{84589F7E-364E-4C9E-8A38-B11213B215E9}">
                    <a14:cameraTool cellRange="Sheet1!AL11" spid="_x0000_s2122"/>
                  </a:ext>
                </a:extLst>
              </xdr:cNvPicPr>
            </xdr:nvPicPr>
            <xdr:blipFill>
              <a:blip xmlns:r="http://schemas.openxmlformats.org/officeDocument/2006/relationships" r:embed="rId8"/>
              <a:srcRect/>
              <a:stretch>
                <a:fillRect/>
              </a:stretch>
            </xdr:blipFill>
            <xdr:spPr bwMode="auto">
              <a:xfrm>
                <a:off x="8369898" y="1357993"/>
                <a:ext cx="1359614" cy="350658"/>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54" name="Picture 53">
                <a:extLst>
                  <a:ext uri="{FF2B5EF4-FFF2-40B4-BE49-F238E27FC236}">
                    <a16:creationId xmlns:a16="http://schemas.microsoft.com/office/drawing/2014/main" id="{FC7148CA-E0ED-976E-0535-66C0A7942442}"/>
                  </a:ext>
                </a:extLst>
              </xdr:cNvPr>
              <xdr:cNvPicPr>
                <a:picLocks noChangeAspect="1" noChangeArrowheads="1"/>
                <a:extLst>
                  <a:ext uri="{84589F7E-364E-4C9E-8A38-B11213B215E9}">
                    <a14:cameraTool cellRange="Sheet1!AM11" spid="_x0000_s2123"/>
                  </a:ext>
                </a:extLst>
              </xdr:cNvPicPr>
            </xdr:nvPicPr>
            <xdr:blipFill>
              <a:blip xmlns:r="http://schemas.openxmlformats.org/officeDocument/2006/relationships" r:embed="rId9"/>
              <a:srcRect/>
              <a:stretch>
                <a:fillRect/>
              </a:stretch>
            </xdr:blipFill>
            <xdr:spPr bwMode="auto">
              <a:xfrm>
                <a:off x="11154095" y="1349413"/>
                <a:ext cx="1076340" cy="367821"/>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55" name="Picture 54">
                <a:extLst>
                  <a:ext uri="{FF2B5EF4-FFF2-40B4-BE49-F238E27FC236}">
                    <a16:creationId xmlns:a16="http://schemas.microsoft.com/office/drawing/2014/main" id="{27A251B0-37F8-E752-61B5-369C7410EC76}"/>
                  </a:ext>
                </a:extLst>
              </xdr:cNvPr>
              <xdr:cNvPicPr>
                <a:picLocks noChangeAspect="1" noChangeArrowheads="1"/>
                <a:extLst>
                  <a:ext uri="{84589F7E-364E-4C9E-8A38-B11213B215E9}">
                    <a14:cameraTool cellRange="Sheet1!AN11" spid="_x0000_s2124"/>
                  </a:ext>
                </a:extLst>
              </xdr:cNvPicPr>
            </xdr:nvPicPr>
            <xdr:blipFill>
              <a:blip xmlns:r="http://schemas.openxmlformats.org/officeDocument/2006/relationships" r:embed="rId10"/>
              <a:srcRect/>
              <a:stretch>
                <a:fillRect/>
              </a:stretch>
            </xdr:blipFill>
            <xdr:spPr bwMode="auto">
              <a:xfrm>
                <a:off x="13713304" y="1373448"/>
                <a:ext cx="1068543" cy="374513"/>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56" name="TextBox 55">
            <a:extLst>
              <a:ext uri="{FF2B5EF4-FFF2-40B4-BE49-F238E27FC236}">
                <a16:creationId xmlns:a16="http://schemas.microsoft.com/office/drawing/2014/main" id="{2C3E7013-3E72-BB56-7486-B06612F1931C}"/>
              </a:ext>
            </a:extLst>
          </xdr:cNvPr>
          <xdr:cNvSpPr txBox="1"/>
        </xdr:nvSpPr>
        <xdr:spPr>
          <a:xfrm>
            <a:off x="4809187" y="1375155"/>
            <a:ext cx="746408" cy="31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rPr>
              <a:t>YOY</a:t>
            </a:r>
          </a:p>
        </xdr:txBody>
      </xdr:sp>
      <mc:AlternateContent xmlns:mc="http://schemas.openxmlformats.org/markup-compatibility/2006" xmlns:a14="http://schemas.microsoft.com/office/drawing/2010/main">
        <mc:Choice Requires="a14">
          <xdr:graphicFrame macro="">
            <xdr:nvGraphicFramePr>
              <xdr:cNvPr id="59" name="Order Date (Quarter)">
                <a:extLst>
                  <a:ext uri="{FF2B5EF4-FFF2-40B4-BE49-F238E27FC236}">
                    <a16:creationId xmlns:a16="http://schemas.microsoft.com/office/drawing/2014/main" id="{DA603566-8BE1-41BD-93FB-BCD1890E9212}"/>
                  </a:ext>
                </a:extLst>
              </xdr:cNvPr>
              <xdr:cNvGraphicFramePr/>
            </xdr:nvGraphicFramePr>
            <xdr:xfrm>
              <a:off x="3550708" y="-18071"/>
              <a:ext cx="1176976" cy="1848295"/>
            </xdr:xfrm>
            <a:graphic>
              <a:graphicData uri="http://schemas.microsoft.com/office/drawing/2010/slicer">
                <sle:slicer xmlns:sle="http://schemas.microsoft.com/office/drawing/2010/slicer" name="Order Date (Quarter)"/>
              </a:graphicData>
            </a:graphic>
          </xdr:graphicFrame>
        </mc:Choice>
        <mc:Fallback xmlns="">
          <xdr:sp macro="" textlink="">
            <xdr:nvSpPr>
              <xdr:cNvPr id="0" name=""/>
              <xdr:cNvSpPr>
                <a:spLocks noTextEdit="1"/>
              </xdr:cNvSpPr>
            </xdr:nvSpPr>
            <xdr:spPr>
              <a:xfrm>
                <a:off x="4086088" y="0"/>
                <a:ext cx="1354442" cy="1564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0" name="Order Date (Month)">
                <a:extLst>
                  <a:ext uri="{FF2B5EF4-FFF2-40B4-BE49-F238E27FC236}">
                    <a16:creationId xmlns:a16="http://schemas.microsoft.com/office/drawing/2014/main" id="{31E89751-2C68-4E02-BC30-0E3FC22F2082}"/>
                  </a:ext>
                </a:extLst>
              </xdr:cNvPr>
              <xdr:cNvGraphicFramePr/>
            </xdr:nvGraphicFramePr>
            <xdr:xfrm>
              <a:off x="1783351" y="-7197"/>
              <a:ext cx="1749273" cy="1848294"/>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2052247" y="9204"/>
                <a:ext cx="2013030" cy="1564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Sheet1!AL9">
        <xdr:nvSpPr>
          <xdr:cNvPr id="61" name="TextBox 60">
            <a:extLst>
              <a:ext uri="{FF2B5EF4-FFF2-40B4-BE49-F238E27FC236}">
                <a16:creationId xmlns:a16="http://schemas.microsoft.com/office/drawing/2014/main" id="{868CB433-706D-4687-9969-3D81222114D9}"/>
              </a:ext>
            </a:extLst>
          </xdr:cNvPr>
          <xdr:cNvSpPr txBox="1"/>
        </xdr:nvSpPr>
        <xdr:spPr>
          <a:xfrm>
            <a:off x="7920418" y="520152"/>
            <a:ext cx="1300531" cy="305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BD0E81-E6D8-4754-85C6-78E6843F3F9F}" type="TxLink">
              <a:rPr lang="en-US" sz="1400" b="0" i="0" u="none" strike="noStrike">
                <a:solidFill>
                  <a:schemeClr val="bg1"/>
                </a:solidFill>
                <a:latin typeface="Calibri"/>
                <a:ea typeface="Calibri"/>
                <a:cs typeface="Calibri"/>
              </a:rPr>
              <a:pPr algn="ctr"/>
              <a:t>6498.9242</a:t>
            </a:fld>
            <a:endParaRPr lang="en-US" sz="1800">
              <a:solidFill>
                <a:schemeClr val="bg1"/>
              </a:solidFill>
            </a:endParaRPr>
          </a:p>
        </xdr:txBody>
      </xdr:sp>
      <xdr:sp macro="" textlink="Sheet1!AM9">
        <xdr:nvSpPr>
          <xdr:cNvPr id="62" name="TextBox 61">
            <a:extLst>
              <a:ext uri="{FF2B5EF4-FFF2-40B4-BE49-F238E27FC236}">
                <a16:creationId xmlns:a16="http://schemas.microsoft.com/office/drawing/2014/main" id="{ACD40998-488E-4823-BB00-681C78334B0B}"/>
              </a:ext>
            </a:extLst>
          </xdr:cNvPr>
          <xdr:cNvSpPr txBox="1"/>
        </xdr:nvSpPr>
        <xdr:spPr>
          <a:xfrm>
            <a:off x="10408012" y="529774"/>
            <a:ext cx="1300531" cy="305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17C217-1CAD-4885-A74C-E8378974FC09}" type="TxLink">
              <a:rPr lang="en-US" sz="1400" b="0" i="0" u="none" strike="noStrike">
                <a:solidFill>
                  <a:schemeClr val="bg1"/>
                </a:solidFill>
                <a:latin typeface="Calibri"/>
                <a:ea typeface="Calibri"/>
                <a:cs typeface="Calibri"/>
              </a:rPr>
              <a:pPr algn="ctr"/>
              <a:t>4056.0198</a:t>
            </a:fld>
            <a:endParaRPr lang="en-US" sz="1800">
              <a:solidFill>
                <a:schemeClr val="bg1"/>
              </a:solidFill>
            </a:endParaRPr>
          </a:p>
        </xdr:txBody>
      </xdr:sp>
      <xdr:sp macro="" textlink="Sheet1!AN9">
        <xdr:nvSpPr>
          <xdr:cNvPr id="63" name="TextBox 62">
            <a:extLst>
              <a:ext uri="{FF2B5EF4-FFF2-40B4-BE49-F238E27FC236}">
                <a16:creationId xmlns:a16="http://schemas.microsoft.com/office/drawing/2014/main" id="{B0BFC4EC-0CBE-4E32-A48B-96E5E8E00DF5}"/>
              </a:ext>
            </a:extLst>
          </xdr:cNvPr>
          <xdr:cNvSpPr txBox="1"/>
        </xdr:nvSpPr>
        <xdr:spPr>
          <a:xfrm>
            <a:off x="12993328" y="564869"/>
            <a:ext cx="1295598" cy="308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616E87-2FC8-4FB2-825E-22AA0BA4C487}" type="TxLink">
              <a:rPr lang="en-US" sz="1400" b="0" i="0" u="none" strike="noStrike">
                <a:solidFill>
                  <a:schemeClr val="bg1"/>
                </a:solidFill>
                <a:latin typeface="Calibri"/>
                <a:ea typeface="Calibri"/>
                <a:cs typeface="Calibri"/>
              </a:rPr>
              <a:pPr algn="ctr"/>
              <a:t>62</a:t>
            </a:fld>
            <a:endParaRPr lang="en-US" sz="1800">
              <a:solidFill>
                <a:schemeClr val="bg1"/>
              </a:solidFill>
            </a:endParaRPr>
          </a:p>
        </xdr:txBody>
      </xdr:sp>
      <xdr:sp macro="" textlink="">
        <xdr:nvSpPr>
          <xdr:cNvPr id="67" name="TextBox 66">
            <a:extLst>
              <a:ext uri="{FF2B5EF4-FFF2-40B4-BE49-F238E27FC236}">
                <a16:creationId xmlns:a16="http://schemas.microsoft.com/office/drawing/2014/main" id="{F279CE8E-65E7-41D6-8D4E-CE4D34C41D26}"/>
              </a:ext>
            </a:extLst>
          </xdr:cNvPr>
          <xdr:cNvSpPr txBox="1"/>
        </xdr:nvSpPr>
        <xdr:spPr>
          <a:xfrm>
            <a:off x="12366029" y="1366575"/>
            <a:ext cx="741474" cy="31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rPr>
              <a:t>YOY</a:t>
            </a:r>
          </a:p>
        </xdr:txBody>
      </xdr:sp>
      <xdr:sp macro="" textlink="">
        <xdr:nvSpPr>
          <xdr:cNvPr id="68" name="TextBox 67">
            <a:extLst>
              <a:ext uri="{FF2B5EF4-FFF2-40B4-BE49-F238E27FC236}">
                <a16:creationId xmlns:a16="http://schemas.microsoft.com/office/drawing/2014/main" id="{9A7320DE-C671-434A-9B0C-4882B11746A3}"/>
              </a:ext>
            </a:extLst>
          </xdr:cNvPr>
          <xdr:cNvSpPr txBox="1"/>
        </xdr:nvSpPr>
        <xdr:spPr>
          <a:xfrm>
            <a:off x="9795014" y="1369044"/>
            <a:ext cx="746408" cy="31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rPr>
              <a:t>YOY</a:t>
            </a:r>
          </a:p>
        </xdr:txBody>
      </xdr:sp>
      <xdr:sp macro="" textlink="">
        <xdr:nvSpPr>
          <xdr:cNvPr id="69" name="TextBox 68">
            <a:extLst>
              <a:ext uri="{FF2B5EF4-FFF2-40B4-BE49-F238E27FC236}">
                <a16:creationId xmlns:a16="http://schemas.microsoft.com/office/drawing/2014/main" id="{B656AE34-7CC9-4318-AD4E-801760F90B12}"/>
              </a:ext>
            </a:extLst>
          </xdr:cNvPr>
          <xdr:cNvSpPr txBox="1"/>
        </xdr:nvSpPr>
        <xdr:spPr>
          <a:xfrm>
            <a:off x="7299488" y="1397971"/>
            <a:ext cx="746407" cy="314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rPr>
              <a:t>YOY</a:t>
            </a:r>
          </a:p>
        </xdr:txBody>
      </xdr:sp>
      <xdr:graphicFrame macro="">
        <xdr:nvGraphicFramePr>
          <xdr:cNvPr id="70" name="Chart 69">
            <a:extLst>
              <a:ext uri="{FF2B5EF4-FFF2-40B4-BE49-F238E27FC236}">
                <a16:creationId xmlns:a16="http://schemas.microsoft.com/office/drawing/2014/main" id="{11FBC6AE-D846-4F38-8C6F-D0D447E1EF14}"/>
              </a:ext>
            </a:extLst>
          </xdr:cNvPr>
          <xdr:cNvGraphicFramePr>
            <a:graphicFrameLocks/>
          </xdr:cNvGraphicFramePr>
        </xdr:nvGraphicFramePr>
        <xdr:xfrm>
          <a:off x="5077012" y="775609"/>
          <a:ext cx="1769867" cy="542484"/>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71" name="Chart 70">
            <a:extLst>
              <a:ext uri="{FF2B5EF4-FFF2-40B4-BE49-F238E27FC236}">
                <a16:creationId xmlns:a16="http://schemas.microsoft.com/office/drawing/2014/main" id="{908F93A1-DF5C-4D2B-BCEC-B8AB9420B8EC}"/>
              </a:ext>
            </a:extLst>
          </xdr:cNvPr>
          <xdr:cNvGraphicFramePr>
            <a:graphicFrameLocks/>
          </xdr:cNvGraphicFramePr>
        </xdr:nvGraphicFramePr>
        <xdr:xfrm>
          <a:off x="7638982" y="797354"/>
          <a:ext cx="1849244" cy="522373"/>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72" name="Chart 71">
            <a:extLst>
              <a:ext uri="{FF2B5EF4-FFF2-40B4-BE49-F238E27FC236}">
                <a16:creationId xmlns:a16="http://schemas.microsoft.com/office/drawing/2014/main" id="{B9EBFB77-0FB9-44D2-B2D9-02EB4FCE8894}"/>
              </a:ext>
            </a:extLst>
          </xdr:cNvPr>
          <xdr:cNvGraphicFramePr>
            <a:graphicFrameLocks/>
          </xdr:cNvGraphicFramePr>
        </xdr:nvGraphicFramePr>
        <xdr:xfrm>
          <a:off x="10235040" y="797355"/>
          <a:ext cx="1681675" cy="526482"/>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73" name="Chart 72">
            <a:extLst>
              <a:ext uri="{FF2B5EF4-FFF2-40B4-BE49-F238E27FC236}">
                <a16:creationId xmlns:a16="http://schemas.microsoft.com/office/drawing/2014/main" id="{33945D52-644A-4E83-8F1C-25345BBA30A3}"/>
              </a:ext>
            </a:extLst>
          </xdr:cNvPr>
          <xdr:cNvGraphicFramePr>
            <a:graphicFrameLocks/>
          </xdr:cNvGraphicFramePr>
        </xdr:nvGraphicFramePr>
        <xdr:xfrm>
          <a:off x="12793951" y="753864"/>
          <a:ext cx="1655215" cy="533248"/>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0</xdr:col>
      <xdr:colOff>0</xdr:colOff>
      <xdr:row>0</xdr:row>
      <xdr:rowOff>1</xdr:rowOff>
    </xdr:from>
    <xdr:to>
      <xdr:col>3</xdr:col>
      <xdr:colOff>211666</xdr:colOff>
      <xdr:row>8</xdr:row>
      <xdr:rowOff>110435</xdr:rowOff>
    </xdr:to>
    <xdr:sp macro="" textlink="">
      <xdr:nvSpPr>
        <xdr:cNvPr id="75" name="Rectangle 74">
          <a:extLst>
            <a:ext uri="{FF2B5EF4-FFF2-40B4-BE49-F238E27FC236}">
              <a16:creationId xmlns:a16="http://schemas.microsoft.com/office/drawing/2014/main" id="{CA237FC5-6009-FC08-CAE4-A7130D0A4B90}"/>
            </a:ext>
          </a:extLst>
        </xdr:cNvPr>
        <xdr:cNvSpPr/>
      </xdr:nvSpPr>
      <xdr:spPr>
        <a:xfrm>
          <a:off x="0" y="1"/>
          <a:ext cx="2033840" cy="1582898"/>
        </a:xfrm>
        <a:prstGeom prst="rect">
          <a:avLst/>
        </a:prstGeom>
        <a:solidFill>
          <a:srgbClr val="4E79A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0</xdr:col>
      <xdr:colOff>246899</xdr:colOff>
      <xdr:row>1</xdr:row>
      <xdr:rowOff>80591</xdr:rowOff>
    </xdr:from>
    <xdr:to>
      <xdr:col>3</xdr:col>
      <xdr:colOff>423333</xdr:colOff>
      <xdr:row>7</xdr:row>
      <xdr:rowOff>36812</xdr:rowOff>
    </xdr:to>
    <xdr:sp macro="" textlink="">
      <xdr:nvSpPr>
        <xdr:cNvPr id="76" name="TextBox 75">
          <a:extLst>
            <a:ext uri="{FF2B5EF4-FFF2-40B4-BE49-F238E27FC236}">
              <a16:creationId xmlns:a16="http://schemas.microsoft.com/office/drawing/2014/main" id="{FE97796C-92CA-C6CB-F25E-7D47EDD49362}"/>
            </a:ext>
          </a:extLst>
        </xdr:cNvPr>
        <xdr:cNvSpPr txBox="1"/>
      </xdr:nvSpPr>
      <xdr:spPr>
        <a:xfrm>
          <a:off x="246899" y="264649"/>
          <a:ext cx="1998608" cy="1060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rPr>
            <a:t>Sales Performance Dashboard</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0.30976</cdr:x>
      <cdr:y>0</cdr:y>
    </cdr:from>
    <cdr:to>
      <cdr:x>0.7963</cdr:x>
      <cdr:y>0.1403</cdr:y>
    </cdr:to>
    <cdr:sp macro="" textlink="">
      <cdr:nvSpPr>
        <cdr:cNvPr id="2" name="TextBox 1">
          <a:extLst xmlns:a="http://schemas.openxmlformats.org/drawingml/2006/main">
            <a:ext uri="{FF2B5EF4-FFF2-40B4-BE49-F238E27FC236}">
              <a16:creationId xmlns:a16="http://schemas.microsoft.com/office/drawing/2014/main" id="{562EC0A2-8B61-97D5-CD0B-5778791E3E35}"/>
            </a:ext>
          </a:extLst>
        </cdr:cNvPr>
        <cdr:cNvSpPr txBox="1"/>
      </cdr:nvSpPr>
      <cdr:spPr>
        <a:xfrm xmlns:a="http://schemas.openxmlformats.org/drawingml/2006/main">
          <a:off x="1168400" y="0"/>
          <a:ext cx="1835150" cy="298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kern="1200">
              <a:solidFill>
                <a:schemeClr val="bg1"/>
              </a:solidFill>
            </a:rPr>
            <a:t>Sales By Sub-Category</a:t>
          </a:r>
        </a:p>
      </cdr:txBody>
    </cdr:sp>
  </cdr:relSizeAnchor>
</c:userShapes>
</file>

<file path=xl/drawings/drawing4.xml><?xml version="1.0" encoding="utf-8"?>
<c:userShapes xmlns:c="http://schemas.openxmlformats.org/drawingml/2006/chart">
  <cdr:relSizeAnchor xmlns:cdr="http://schemas.openxmlformats.org/drawingml/2006/chartDrawing">
    <cdr:from>
      <cdr:x>0.40045</cdr:x>
      <cdr:y>0.04692</cdr:y>
    </cdr:from>
    <cdr:to>
      <cdr:x>0.62205</cdr:x>
      <cdr:y>0.15249</cdr:y>
    </cdr:to>
    <cdr:sp macro="" textlink="">
      <cdr:nvSpPr>
        <cdr:cNvPr id="2" name="TextBox 1">
          <a:extLst xmlns:a="http://schemas.openxmlformats.org/drawingml/2006/main">
            <a:ext uri="{FF2B5EF4-FFF2-40B4-BE49-F238E27FC236}">
              <a16:creationId xmlns:a16="http://schemas.microsoft.com/office/drawing/2014/main" id="{533D3401-1168-35A1-A2A3-CDD8D66890C5}"/>
            </a:ext>
          </a:extLst>
        </cdr:cNvPr>
        <cdr:cNvSpPr txBox="1"/>
      </cdr:nvSpPr>
      <cdr:spPr>
        <a:xfrm xmlns:a="http://schemas.openxmlformats.org/drawingml/2006/main">
          <a:off x="2260600" y="101600"/>
          <a:ext cx="125095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kern="1200">
              <a:solidFill>
                <a:schemeClr val="bg1"/>
              </a:solidFill>
            </a:rPr>
            <a:t>Top 10 Products</a:t>
          </a:r>
        </a:p>
      </cdr:txBody>
    </cdr:sp>
  </cdr:relSizeAnchor>
</c:userShapes>
</file>

<file path=xl/drawings/drawing5.xml><?xml version="1.0" encoding="utf-8"?>
<c:userShapes xmlns:c="http://schemas.openxmlformats.org/drawingml/2006/chart">
  <cdr:relSizeAnchor xmlns:cdr="http://schemas.openxmlformats.org/drawingml/2006/chartDrawing">
    <cdr:from>
      <cdr:x>0.36767</cdr:x>
      <cdr:y>0.02128</cdr:y>
    </cdr:from>
    <cdr:to>
      <cdr:x>0.70365</cdr:x>
      <cdr:y>0.09726</cdr:y>
    </cdr:to>
    <cdr:sp macro="" textlink="">
      <cdr:nvSpPr>
        <cdr:cNvPr id="2" name="TextBox 1">
          <a:extLst xmlns:a="http://schemas.openxmlformats.org/drawingml/2006/main">
            <a:ext uri="{FF2B5EF4-FFF2-40B4-BE49-F238E27FC236}">
              <a16:creationId xmlns:a16="http://schemas.microsoft.com/office/drawing/2014/main" id="{68B5DBEF-7D00-BA81-739F-C8FF675D2A22}"/>
            </a:ext>
          </a:extLst>
        </cdr:cNvPr>
        <cdr:cNvSpPr txBox="1"/>
      </cdr:nvSpPr>
      <cdr:spPr>
        <a:xfrm xmlns:a="http://schemas.openxmlformats.org/drawingml/2006/main">
          <a:off x="1473200" y="44450"/>
          <a:ext cx="1346200" cy="158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0.33281</cdr:x>
      <cdr:y>0</cdr:y>
    </cdr:from>
    <cdr:to>
      <cdr:x>0.68146</cdr:x>
      <cdr:y>0.12158</cdr:y>
    </cdr:to>
    <cdr:sp macro="" textlink="">
      <cdr:nvSpPr>
        <cdr:cNvPr id="3" name="TextBox 2">
          <a:extLst xmlns:a="http://schemas.openxmlformats.org/drawingml/2006/main">
            <a:ext uri="{FF2B5EF4-FFF2-40B4-BE49-F238E27FC236}">
              <a16:creationId xmlns:a16="http://schemas.microsoft.com/office/drawing/2014/main" id="{943FA075-3F96-B64D-D5B8-BAF2D777185C}"/>
            </a:ext>
          </a:extLst>
        </cdr:cNvPr>
        <cdr:cNvSpPr txBox="1"/>
      </cdr:nvSpPr>
      <cdr:spPr>
        <a:xfrm xmlns:a="http://schemas.openxmlformats.org/drawingml/2006/main">
          <a:off x="1333500" y="0"/>
          <a:ext cx="1397000"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kern="1200">
              <a:solidFill>
                <a:schemeClr val="bg1"/>
              </a:solidFill>
            </a:rPr>
            <a:t>Sales By Region</a:t>
          </a:r>
        </a:p>
      </cdr:txBody>
    </cdr:sp>
  </cdr:relSizeAnchor>
</c:userShapes>
</file>

<file path=xl/drawings/drawing6.xml><?xml version="1.0" encoding="utf-8"?>
<c:userShapes xmlns:c="http://schemas.openxmlformats.org/drawingml/2006/chart">
  <cdr:relSizeAnchor xmlns:cdr="http://schemas.openxmlformats.org/drawingml/2006/chartDrawing">
    <cdr:from>
      <cdr:x>0.35714</cdr:x>
      <cdr:y>0</cdr:y>
    </cdr:from>
    <cdr:to>
      <cdr:x>0.67857</cdr:x>
      <cdr:y>0.12121</cdr:y>
    </cdr:to>
    <cdr:sp macro="" textlink="">
      <cdr:nvSpPr>
        <cdr:cNvPr id="2" name="TextBox 1">
          <a:extLst xmlns:a="http://schemas.openxmlformats.org/drawingml/2006/main">
            <a:ext uri="{FF2B5EF4-FFF2-40B4-BE49-F238E27FC236}">
              <a16:creationId xmlns:a16="http://schemas.microsoft.com/office/drawing/2014/main" id="{8368291F-E16C-B139-8825-E2D38F397568}"/>
            </a:ext>
          </a:extLst>
        </cdr:cNvPr>
        <cdr:cNvSpPr txBox="1"/>
      </cdr:nvSpPr>
      <cdr:spPr>
        <a:xfrm xmlns:a="http://schemas.openxmlformats.org/drawingml/2006/main">
          <a:off x="1333500" y="0"/>
          <a:ext cx="1200150"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kern="1200">
              <a:solidFill>
                <a:schemeClr val="bg1"/>
              </a:solidFill>
            </a:rPr>
            <a:t>Sales By</a:t>
          </a:r>
          <a:r>
            <a:rPr lang="en-US" sz="1200" kern="1200" baseline="0">
              <a:solidFill>
                <a:schemeClr val="bg1"/>
              </a:solidFill>
            </a:rPr>
            <a:t> Year</a:t>
          </a:r>
          <a:endParaRPr lang="en-US" sz="1200" kern="1200">
            <a:solidFill>
              <a:schemeClr val="bg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refreshedDate="46120.938213657406" backgroundQuery="1" createdVersion="8" refreshedVersion="8" minRefreshableVersion="3" recordCount="0" supportSubquery="1" supportAdvancedDrill="1" xr:uid="{CBCDD3E3-2B97-4844-9B0F-5E8CCE4BAD07}">
  <cacheSource type="external" connectionId="2"/>
  <cacheFields count="2">
    <cacheField name="[Measures].[Sum of Total Sales Amount]" caption="Sum of Total Sales Amount" numFmtId="0" hierarchy="27" level="32767"/>
    <cacheField name="[Sales Data].[State].[State]" caption="State" numFmtId="0" hierarchy="8" level="1">
      <sharedItems count="40">
        <s v="Alabama"/>
        <s v="Arizona"/>
        <s v="Arkansas"/>
        <s v="California"/>
        <s v="Colorado"/>
        <s v="Connecticut"/>
        <s v="Delaware"/>
        <s v="Florida"/>
        <s v="Georgia"/>
        <s v="Illinois"/>
        <s v="Indiana"/>
        <s v="Iowa"/>
        <s v="Kentucky"/>
        <s v="Louisiana"/>
        <s v="Maryland"/>
        <s v="Massachusetts"/>
        <s v="Michigan"/>
        <s v="Minnesota"/>
        <s v="Mississippi"/>
        <s v="Missouri"/>
        <s v="Montana"/>
        <s v="Nebraska"/>
        <s v="Nevada"/>
        <s v="New Hampshire"/>
        <s v="New Jersey"/>
        <s v="New Mexico"/>
        <s v="New York"/>
        <s v="North Carolina"/>
        <s v="Ohio"/>
        <s v="Oklahoma"/>
        <s v="Oregon"/>
        <s v="Pennsylvania"/>
        <s v="Rhode Island"/>
        <s v="South Carolina"/>
        <s v="Tennessee"/>
        <s v="Texas"/>
        <s v="Utah"/>
        <s v="Virginia"/>
        <s v="Washington"/>
        <s v="Wisconsin"/>
      </sharedItems>
    </cacheField>
  </cacheFields>
  <cacheHierarchies count="31">
    <cacheHierarchy uniqueName="[Sales Data].[Order ID]" caption="Order ID" attribute="1" defaultMemberUniqueName="[Sales Data].[Order ID].[All]" allUniqueName="[Sales Data].[Order ID].[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 Mode]" caption="Ship Mode" attribute="1" defaultMemberUniqueName="[Sales Data].[Ship Mode].[All]" allUniqueName="[Sales Data].[Ship Mode].[All]" dimensionUniqueName="[Sales Data]" displayFolder="" count="0" memberValueDatatype="13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lient Segment]" caption="Client Segment" attribute="1" defaultMemberUniqueName="[Sales Data].[Client Segment].[All]" allUniqueName="[Sales Data].[Client Segment].[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0" memberValueDatatype="130" unbalanced="0"/>
    <cacheHierarchy uniqueName="[Sales Data].[State]" caption="State" attribute="1" defaultMemberUniqueName="[Sales Data].[State].[All]" allUniqueName="[Sales Data].[State].[All]" dimensionUniqueName="[Sales Data]" displayFolder="" count="2" memberValueDatatype="130" unbalanced="0">
      <fieldsUsage count="2">
        <fieldUsage x="-1"/>
        <fieldUsage x="1"/>
      </fieldsUsage>
    </cacheHierarchy>
    <cacheHierarchy uniqueName="[Sales Data].[Postal Code]" caption="Postal Code" attribute="1" defaultMemberUniqueName="[Sales Data].[Postal Code].[All]" allUniqueName="[Sales Data].[Postal Code].[All]" dimensionUniqueName="[Sales Data]" displayFolder="" count="0" memberValueDatatype="20" unbalanced="0"/>
    <cacheHierarchy uniqueName="[Sales Data].[Region]" caption="Region" attribute="1" defaultMemberUniqueName="[Sales Data].[Region].[All]" allUniqueName="[Sales Data].[Region].[All]" dimensionUniqueName="[Sales Data]" displayFolder="" count="0" memberValueDatatype="130" unbalanced="0"/>
    <cacheHierarchy uniqueName="[Sales Data].[Product ID]" caption="Product ID" attribute="1" defaultMemberUniqueName="[Sales Data].[Product ID].[All]" allUniqueName="[Sales Data].[Product ID].[All]" dimensionUniqueName="[Sales Data]" displayFolder="" count="0"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Sub-Category]" caption="Sub-Category" attribute="1" defaultMemberUniqueName="[Sales Data].[Sub-Category].[All]" allUniqueName="[Sales Data].[Sub-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 Cost Price]" caption="Unit Cost Price" attribute="1" defaultMemberUniqueName="[Sales Data].[Unit Cost Price].[All]" allUniqueName="[Sales Data].[Unit Cost Price].[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Quantity]" caption="Quantity" attribute="1" defaultMemberUniqueName="[Sales Data].[Quantity].[All]" allUniqueName="[Sales Data].[Quantity].[All]" dimensionUniqueName="[Sales Data]" displayFolder="" count="0" memberValueDatatype="20" unbalanced="0"/>
    <cacheHierarchy uniqueName="[Sales Data].[Total Sales Amount]" caption="Total Sales Amount" attribute="1" defaultMemberUniqueName="[Sales Data].[Total Sales Amount].[All]" allUniqueName="[Sales Data].[Total Sales Amount].[All]" dimensionUniqueName="[Sales Data]" displayFolder="" count="0" memberValueDatatype="5" unbalanced="0"/>
    <cacheHierarchy uniqueName="[Sales Data].[Total Cost Amounts]" caption="Total Cost Amounts" attribute="1" defaultMemberUniqueName="[Sales Data].[Total Cost Amounts].[All]" allUniqueName="[Sales Data].[Total Cost Amounts].[All]" dimensionUniqueName="[Sales Data]" displayFolder="" count="0" memberValueDatatype="5" unbalanced="0"/>
    <cacheHierarchy uniqueName="[Sales Data].[Net Profit]" caption="Net Profit" attribute="1" defaultMemberUniqueName="[Sales Data].[Net Profit].[All]" allUniqueName="[Sales Data].[Net Profi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 Sales Amount]" caption="Sum of Total Sales Amount" measure="1" displayFolder="" measureGroup="Sales Data"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Total Cost Amounts]" caption="Sum of Total Cost Amounts" measure="1" displayFolder="" measureGroup="Sales Data" count="0" hidden="1">
      <extLst>
        <ext xmlns:x15="http://schemas.microsoft.com/office/spreadsheetml/2010/11/main" uri="{B97F6D7D-B522-45F9-BDA1-12C45D357490}">
          <x15:cacheHierarchy aggregatedColumn="19"/>
        </ext>
      </extLst>
    </cacheHierarchy>
    <cacheHierarchy uniqueName="[Measures].[Sum of Net Profit]" caption="Sum of Net Profit" measure="1" displayFolder="" measureGroup="Sales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246.874704745373" backgroundQuery="1" createdVersion="8" refreshedVersion="8" minRefreshableVersion="3" recordCount="0" supportSubquery="1" supportAdvancedDrill="1" xr:uid="{C33722E5-AC2B-4A02-B54C-823C0B952C4C}">
  <cacheSource type="external" connectionId="2"/>
  <cacheFields count="3">
    <cacheField name="[Sales Data].[Region].[Region]" caption="Region" numFmtId="0" hierarchy="10" level="1">
      <sharedItems count="4">
        <s v="Central"/>
        <s v="East"/>
        <s v="South"/>
        <s v="West"/>
      </sharedItems>
    </cacheField>
    <cacheField name="[Measures].[Sum of Total Sales Amount]" caption="Sum of Total Sales Amount" numFmtId="0" hierarchy="27" level="32767"/>
    <cacheField name="[Sales Data].[Order Date (Month)].[Order Date (Month)]" caption="Order Date (Month)" numFmtId="0" hierarchy="23" level="1">
      <sharedItems containsSemiMixedTypes="0" containsNonDate="0" containsString="0"/>
    </cacheField>
  </cacheFields>
  <cacheHierarchies count="31">
    <cacheHierarchy uniqueName="[Sales Data].[Order ID]" caption="Order ID" attribute="1" defaultMemberUniqueName="[Sales Data].[Order ID].[All]" allUniqueName="[Sales Data].[Order ID].[All]" dimensionUniqueName="[Sales Data]" displayFolder="" count="2" memberValueDatatype="130" unbalanced="0"/>
    <cacheHierarchy uniqueName="[Sales Data].[Order Date]" caption="Order Date" attribute="1" time="1" defaultMemberUniqueName="[Sales Data].[Order Date].[All]" allUniqueName="[Sales Data].[Order Date].[All]" dimensionUniqueName="[Sales Data]" displayFolder="" count="2" memberValueDatatype="7" unbalanced="0"/>
    <cacheHierarchy uniqueName="[Sales Data].[Ship Date]" caption="Ship Date" attribute="1" time="1" defaultMemberUniqueName="[Sales Data].[Ship Date].[All]" allUniqueName="[Sales Data].[Ship Date].[All]" dimensionUniqueName="[Sales Data]" displayFolder="" count="2" memberValueDatatype="7" unbalanced="0"/>
    <cacheHierarchy uniqueName="[Sales Data].[Ship Mode]" caption="Ship Mode" attribute="1" defaultMemberUniqueName="[Sales Data].[Ship Mode].[All]" allUniqueName="[Sales Data].[Ship Mode].[All]" dimensionUniqueName="[Sales Data]" displayFolder="" count="2" memberValueDatatype="130" unbalanced="0"/>
    <cacheHierarchy uniqueName="[Sales Data].[Customer ID]" caption="Customer ID" attribute="1" defaultMemberUniqueName="[Sales Data].[Customer ID].[All]" allUniqueName="[Sales Data].[Customer ID].[All]" dimensionUniqueName="[Sales Data]" displayFolder="" count="2" memberValueDatatype="130" unbalanced="0"/>
    <cacheHierarchy uniqueName="[Sales Data].[Customer Name]" caption="Customer Name" attribute="1" defaultMemberUniqueName="[Sales Data].[Customer Name].[All]" allUniqueName="[Sales Data].[Customer Name].[All]" dimensionUniqueName="[Sales Data]" displayFolder="" count="2" memberValueDatatype="130" unbalanced="0"/>
    <cacheHierarchy uniqueName="[Sales Data].[Client Segment]" caption="Client Segment" attribute="1" defaultMemberUniqueName="[Sales Data].[Client Segment].[All]" allUniqueName="[Sales Data].[Client Segment].[All]" dimensionUniqueName="[Sales Data]" displayFolder="" count="2" memberValueDatatype="130" unbalanced="0"/>
    <cacheHierarchy uniqueName="[Sales Data].[Country]" caption="Country" attribute="1" defaultMemberUniqueName="[Sales Data].[Country].[All]" allUniqueName="[Sales Data].[Country].[All]" dimensionUniqueName="[Sales Data]" displayFolder="" count="2" memberValueDatatype="130" unbalanced="0"/>
    <cacheHierarchy uniqueName="[Sales Data].[State]" caption="State" attribute="1" defaultMemberUniqueName="[Sales Data].[State].[All]" allUniqueName="[Sales Data].[State].[All]" dimensionUniqueName="[Sales Data]" displayFolder="" count="2" memberValueDatatype="130" unbalanced="0"/>
    <cacheHierarchy uniqueName="[Sales Data].[Postal Code]" caption="Postal Code" attribute="1" defaultMemberUniqueName="[Sales Data].[Postal Code].[All]" allUniqueName="[Sales Data].[Postal Code].[All]" dimensionUniqueName="[Sales Data]" displayFolder="" count="2" memberValueDatatype="20" unbalanced="0"/>
    <cacheHierarchy uniqueName="[Sales Data].[Region]" caption="Region" attribute="1" defaultMemberUniqueName="[Sales Data].[Region].[All]" allUniqueName="[Sales Data].[Region].[All]" dimensionUniqueName="[Sales Data]" displayFolder="" count="2" memberValueDatatype="130" unbalanced="0">
      <fieldsUsage count="2">
        <fieldUsage x="-1"/>
        <fieldUsage x="0"/>
      </fieldsUsage>
    </cacheHierarchy>
    <cacheHierarchy uniqueName="[Sales Data].[Product ID]" caption="Product ID" attribute="1" defaultMemberUniqueName="[Sales Data].[Product ID].[All]" allUniqueName="[Sales Data].[Product ID].[All]" dimensionUniqueName="[Sales Data]" displayFolder="" count="2" memberValueDatatype="130" unbalanced="0"/>
    <cacheHierarchy uniqueName="[Sales Data].[Product Category]" caption="Product Category" attribute="1" defaultMemberUniqueName="[Sales Data].[Product Category].[All]" allUniqueName="[Sales Data].[Product Category].[All]" dimensionUniqueName="[Sales Data]" displayFolder="" count="2" memberValueDatatype="130" unbalanced="0"/>
    <cacheHierarchy uniqueName="[Sales Data].[Sub-Category]" caption="Sub-Category" attribute="1" defaultMemberUniqueName="[Sales Data].[Sub-Category].[All]" allUniqueName="[Sales Data].[Sub-Category].[All]" dimensionUniqueName="[Sales Data]" displayFolder="" count="2" memberValueDatatype="130" unbalanced="0"/>
    <cacheHierarchy uniqueName="[Sales Data].[Product Name]" caption="Product Name" attribute="1" defaultMemberUniqueName="[Sales Data].[Product Name].[All]" allUniqueName="[Sales Data].[Product Name].[All]" dimensionUniqueName="[Sales Data]" displayFolder="" count="2" memberValueDatatype="130" unbalanced="0"/>
    <cacheHierarchy uniqueName="[Sales Data].[Unit Cost Price]" caption="Unit Cost Price" attribute="1" defaultMemberUniqueName="[Sales Data].[Unit Cost Price].[All]" allUniqueName="[Sales Data].[Unit Cost Price].[All]" dimensionUniqueName="[Sales Data]" displayFolder="" count="2" memberValueDatatype="5" unbalanced="0"/>
    <cacheHierarchy uniqueName="[Sales Data].[Unit Price]" caption="Unit Price" attribute="1" defaultMemberUniqueName="[Sales Data].[Unit Price].[All]" allUniqueName="[Sales Data].[Unit Price].[All]" dimensionUniqueName="[Sales Data]" displayFolder="" count="2" memberValueDatatype="5" unbalanced="0"/>
    <cacheHierarchy uniqueName="[Sales Data].[Quantity]" caption="Quantity" attribute="1" defaultMemberUniqueName="[Sales Data].[Quantity].[All]" allUniqueName="[Sales Data].[Quantity].[All]" dimensionUniqueName="[Sales Data]" displayFolder="" count="2" memberValueDatatype="20" unbalanced="0"/>
    <cacheHierarchy uniqueName="[Sales Data].[Total Sales Amount]" caption="Total Sales Amount" attribute="1" defaultMemberUniqueName="[Sales Data].[Total Sales Amount].[All]" allUniqueName="[Sales Data].[Total Sales Amount].[All]" dimensionUniqueName="[Sales Data]" displayFolder="" count="2" memberValueDatatype="5" unbalanced="0"/>
    <cacheHierarchy uniqueName="[Sales Data].[Total Cost Amounts]" caption="Total Cost Amounts" attribute="1" defaultMemberUniqueName="[Sales Data].[Total Cost Amounts].[All]" allUniqueName="[Sales Data].[Total Cost Amounts].[All]" dimensionUniqueName="[Sales Data]" displayFolder="" count="2" memberValueDatatype="5" unbalanced="0"/>
    <cacheHierarchy uniqueName="[Sales Data].[Net Profit]" caption="Net Profit" attribute="1" defaultMemberUniqueName="[Sales Data].[Net Profit].[All]" allUniqueName="[Sales Data].[Net Profit].[All]" dimensionUniqueName="[Sales Data]" displayFolder="" count="2" memberValueDatatype="5" unbalanced="0"/>
    <cacheHierarchy uniqueName="[Sales Data].[Order Date (Year)]" caption="Order Date (Year)" attribute="1" defaultMemberUniqueName="[Sales Data].[Order Date (Year)].[All]" allUniqueName="[Sales Data].[Order Date (Year)].[All]" dimensionUniqueName="[Sales Data]" displayFolder="" count="2" memberValueDatatype="130" unbalanced="0"/>
    <cacheHierarchy uniqueName="[Sales Data].[Order Date (Quarter)]" caption="Order Date (Quarter)" attribute="1" defaultMemberUniqueName="[Sales Data].[Order Date (Quarter)].[All]" allUniqueName="[Sales Data].[Order Date (Quarter)].[All]" dimensionUniqueName="[Sales Data]" displayFolder="" count="2"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2"/>
      </fieldsUsage>
    </cacheHierarchy>
    <cacheHierarchy uniqueName="[Sales Data].[Order Date (Month Index)]" caption="Order Date (Month Index)" attribute="1" defaultMemberUniqueName="[Sales Data].[Order Date (Month Index)].[All]" allUniqueName="[Sales Data].[Order Date (Month Index)].[All]" dimensionUniqueName="[Sales Data]" displayFolder="" count="2" memberValueDatatype="20" unbalanced="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 Sales Amount]" caption="Sum of Total Sales Amount" measure="1" displayFolder="" measureGroup="Sales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otal Cost Amounts]" caption="Sum of Total Cost Amounts" measure="1" displayFolder="" measureGroup="Sales Data" count="0" hidden="1">
      <extLst>
        <ext xmlns:x15="http://schemas.microsoft.com/office/spreadsheetml/2010/11/main" uri="{B97F6D7D-B522-45F9-BDA1-12C45D357490}">
          <x15:cacheHierarchy aggregatedColumn="19"/>
        </ext>
      </extLst>
    </cacheHierarchy>
    <cacheHierarchy uniqueName="[Measures].[Sum of Net Profit]" caption="Sum of Net Profit" measure="1" displayFolder="" measureGroup="Sales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246.874706944443" backgroundQuery="1" createdVersion="8" refreshedVersion="8" minRefreshableVersion="3" recordCount="0" supportSubquery="1" supportAdvancedDrill="1" xr:uid="{EC7E512B-5C7C-4061-990A-E60B92DA2680}">
  <cacheSource type="external" connectionId="2"/>
  <cacheFields count="2">
    <cacheField name="[Sales Data].[Order Date (Month)].[Order Date (Month)]" caption="Order Date (Month)" numFmtId="0" hierarchy="23" level="1">
      <sharedItems count="1">
        <s v="Feb"/>
      </sharedItems>
    </cacheField>
    <cacheField name="[Measures].[Sum of Total Cost Amounts]" caption="Sum of Total Cost Amounts" numFmtId="0" hierarchy="28" level="32767"/>
  </cacheFields>
  <cacheHierarchies count="31">
    <cacheHierarchy uniqueName="[Sales Data].[Order ID]" caption="Order ID" attribute="1" defaultMemberUniqueName="[Sales Data].[Order ID].[All]" allUniqueName="[Sales Data].[Order ID].[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 Mode]" caption="Ship Mode" attribute="1" defaultMemberUniqueName="[Sales Data].[Ship Mode].[All]" allUniqueName="[Sales Data].[Ship Mode].[All]" dimensionUniqueName="[Sales Data]" displayFolder="" count="0" memberValueDatatype="13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lient Segment]" caption="Client Segment" attribute="1" defaultMemberUniqueName="[Sales Data].[Client Segment].[All]" allUniqueName="[Sales Data].[Client Segment].[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0" memberValueDatatype="130" unbalanced="0"/>
    <cacheHierarchy uniqueName="[Sales Data].[State]" caption="State" attribute="1" defaultMemberUniqueName="[Sales Data].[State].[All]" allUniqueName="[Sales Data].[State].[All]" dimensionUniqueName="[Sales Data]" displayFolder="" count="0" memberValueDatatype="130" unbalanced="0"/>
    <cacheHierarchy uniqueName="[Sales Data].[Postal Code]" caption="Postal Code" attribute="1" defaultMemberUniqueName="[Sales Data].[Postal Code].[All]" allUniqueName="[Sales Data].[Postal Code].[All]" dimensionUniqueName="[Sales Data]" displayFolder="" count="0" memberValueDatatype="20" unbalanced="0"/>
    <cacheHierarchy uniqueName="[Sales Data].[Region]" caption="Region" attribute="1" defaultMemberUniqueName="[Sales Data].[Region].[All]" allUniqueName="[Sales Data].[Region].[All]" dimensionUniqueName="[Sales Data]" displayFolder="" count="0" memberValueDatatype="130" unbalanced="0"/>
    <cacheHierarchy uniqueName="[Sales Data].[Product ID]" caption="Product ID" attribute="1" defaultMemberUniqueName="[Sales Data].[Product ID].[All]" allUniqueName="[Sales Data].[Product ID].[All]" dimensionUniqueName="[Sales Data]" displayFolder="" count="0"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Sub-Category]" caption="Sub-Category" attribute="1" defaultMemberUniqueName="[Sales Data].[Sub-Category].[All]" allUniqueName="[Sales Data].[Sub-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 Cost Price]" caption="Unit Cost Price" attribute="1" defaultMemberUniqueName="[Sales Data].[Unit Cost Price].[All]" allUniqueName="[Sales Data].[Unit Cost Price].[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Quantity]" caption="Quantity" attribute="1" defaultMemberUniqueName="[Sales Data].[Quantity].[All]" allUniqueName="[Sales Data].[Quantity].[All]" dimensionUniqueName="[Sales Data]" displayFolder="" count="0" memberValueDatatype="20" unbalanced="0"/>
    <cacheHierarchy uniqueName="[Sales Data].[Total Sales Amount]" caption="Total Sales Amount" attribute="1" defaultMemberUniqueName="[Sales Data].[Total Sales Amount].[All]" allUniqueName="[Sales Data].[Total Sales Amount].[All]" dimensionUniqueName="[Sales Data]" displayFolder="" count="0" memberValueDatatype="5" unbalanced="0"/>
    <cacheHierarchy uniqueName="[Sales Data].[Total Cost Amounts]" caption="Total Cost Amounts" attribute="1" defaultMemberUniqueName="[Sales Data].[Total Cost Amounts].[All]" allUniqueName="[Sales Data].[Total Cost Amounts].[All]" dimensionUniqueName="[Sales Data]" displayFolder="" count="0" memberValueDatatype="5" unbalanced="0"/>
    <cacheHierarchy uniqueName="[Sales Data].[Net Profit]" caption="Net Profit" attribute="1" defaultMemberUniqueName="[Sales Data].[Net Profit].[All]" allUniqueName="[Sales Data].[Net Profi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2"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0"/>
      </fieldsUsage>
    </cacheHierarchy>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 Sales Amount]" caption="Sum of Total Sales Amount" measure="1" displayFolder="" measureGroup="Sales Data" count="0" hidden="1">
      <extLst>
        <ext xmlns:x15="http://schemas.microsoft.com/office/spreadsheetml/2010/11/main" uri="{B97F6D7D-B522-45F9-BDA1-12C45D357490}">
          <x15:cacheHierarchy aggregatedColumn="18"/>
        </ext>
      </extLst>
    </cacheHierarchy>
    <cacheHierarchy uniqueName="[Measures].[Sum of Total Cost Amounts]" caption="Sum of Total Cost Amounts" measure="1" displayFolder="" measureGroup="Sales Data"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Net Profit]" caption="Sum of Net Profit" measure="1" displayFolder="" measureGroup="Sales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246.874708449075" backgroundQuery="1" createdVersion="8" refreshedVersion="8" minRefreshableVersion="3" recordCount="0" supportSubquery="1" supportAdvancedDrill="1" xr:uid="{64A7E60B-9775-4A80-87E2-8D2CA627BB41}">
  <cacheSource type="external" connectionId="2"/>
  <cacheFields count="6">
    <cacheField name="[Sales Data].[Order Date (Year)].[Order Date (Year)]" caption="Order Date (Year)" numFmtId="0" hierarchy="21" level="1">
      <sharedItems count="4">
        <s v="2014"/>
        <s v="2015"/>
        <s v="2016"/>
        <s v="2017"/>
      </sharedItems>
    </cacheField>
    <cacheField name="[Measures].[Sum of Total Sales Amount]" caption="Sum of Total Sales Amount" numFmtId="0" hierarchy="27" level="32767"/>
    <cacheField name="[Measures].[Sum of Total Cost Amounts]" caption="Sum of Total Cost Amounts" numFmtId="0" hierarchy="28" level="32767"/>
    <cacheField name="[Measures].[Sum of Net Profit]" caption="Sum of Net Profit" numFmtId="0" hierarchy="29" level="32767"/>
    <cacheField name="[Measures].[Sum of Quantity]" caption="Sum of Quantity" numFmtId="0" hierarchy="30" level="32767"/>
    <cacheField name="[Sales Data].[Order Date (Month)].[Order Date (Month)]" caption="Order Date (Month)" numFmtId="0" hierarchy="23" level="1">
      <sharedItems containsSemiMixedTypes="0" containsNonDate="0" containsString="0"/>
    </cacheField>
  </cacheFields>
  <cacheHierarchies count="31">
    <cacheHierarchy uniqueName="[Sales Data].[Order ID]" caption="Order ID" attribute="1" defaultMemberUniqueName="[Sales Data].[Order ID].[All]" allUniqueName="[Sales Data].[Order ID].[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 Mode]" caption="Ship Mode" attribute="1" defaultMemberUniqueName="[Sales Data].[Ship Mode].[All]" allUniqueName="[Sales Data].[Ship Mode].[All]" dimensionUniqueName="[Sales Data]" displayFolder="" count="0" memberValueDatatype="13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lient Segment]" caption="Client Segment" attribute="1" defaultMemberUniqueName="[Sales Data].[Client Segment].[All]" allUniqueName="[Sales Data].[Client Segment].[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0" memberValueDatatype="130" unbalanced="0"/>
    <cacheHierarchy uniqueName="[Sales Data].[State]" caption="State" attribute="1" defaultMemberUniqueName="[Sales Data].[State].[All]" allUniqueName="[Sales Data].[State].[All]" dimensionUniqueName="[Sales Data]" displayFolder="" count="0" memberValueDatatype="130" unbalanced="0"/>
    <cacheHierarchy uniqueName="[Sales Data].[Postal Code]" caption="Postal Code" attribute="1" defaultMemberUniqueName="[Sales Data].[Postal Code].[All]" allUniqueName="[Sales Data].[Postal Code].[All]" dimensionUniqueName="[Sales Data]" displayFolder="" count="0" memberValueDatatype="20" unbalanced="0"/>
    <cacheHierarchy uniqueName="[Sales Data].[Region]" caption="Region" attribute="1" defaultMemberUniqueName="[Sales Data].[Region].[All]" allUniqueName="[Sales Data].[Region].[All]" dimensionUniqueName="[Sales Data]" displayFolder="" count="0" memberValueDatatype="130" unbalanced="0"/>
    <cacheHierarchy uniqueName="[Sales Data].[Product ID]" caption="Product ID" attribute="1" defaultMemberUniqueName="[Sales Data].[Product ID].[All]" allUniqueName="[Sales Data].[Product ID].[All]" dimensionUniqueName="[Sales Data]" displayFolder="" count="0"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Sub-Category]" caption="Sub-Category" attribute="1" defaultMemberUniqueName="[Sales Data].[Sub-Category].[All]" allUniqueName="[Sales Data].[Sub-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 Cost Price]" caption="Unit Cost Price" attribute="1" defaultMemberUniqueName="[Sales Data].[Unit Cost Price].[All]" allUniqueName="[Sales Data].[Unit Cost Price].[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Quantity]" caption="Quantity" attribute="1" defaultMemberUniqueName="[Sales Data].[Quantity].[All]" allUniqueName="[Sales Data].[Quantity].[All]" dimensionUniqueName="[Sales Data]" displayFolder="" count="0" memberValueDatatype="20" unbalanced="0"/>
    <cacheHierarchy uniqueName="[Sales Data].[Total Sales Amount]" caption="Total Sales Amount" attribute="1" defaultMemberUniqueName="[Sales Data].[Total Sales Amount].[All]" allUniqueName="[Sales Data].[Total Sales Amount].[All]" dimensionUniqueName="[Sales Data]" displayFolder="" count="0" memberValueDatatype="5" unbalanced="0"/>
    <cacheHierarchy uniqueName="[Sales Data].[Total Cost Amounts]" caption="Total Cost Amounts" attribute="1" defaultMemberUniqueName="[Sales Data].[Total Cost Amounts].[All]" allUniqueName="[Sales Data].[Total Cost Amounts].[All]" dimensionUniqueName="[Sales Data]" displayFolder="" count="0" memberValueDatatype="5" unbalanced="0"/>
    <cacheHierarchy uniqueName="[Sales Data].[Net Profit]" caption="Net Profit" attribute="1" defaultMemberUniqueName="[Sales Data].[Net Profit].[All]" allUniqueName="[Sales Data].[Net Profi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0"/>
      </fieldsUsage>
    </cacheHierarchy>
    <cacheHierarchy uniqueName="[Sales Data].[Order Date (Quarter)]" caption="Order Date (Quarter)" attribute="1" defaultMemberUniqueName="[Sales Data].[Order Date (Quarter)].[All]" allUniqueName="[Sales Data].[Order Date (Quarter)].[All]" dimensionUniqueName="[Sales Data]" displayFolder="" count="2"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5"/>
      </fieldsUsage>
    </cacheHierarchy>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 Sales Amount]" caption="Sum of Total Sales Amount" measure="1" displayFolder="" measureGroup="Sales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otal Cost Amounts]" caption="Sum of Total Cost Amounts" measure="1" displayFolder="" measureGroup="Sales Data"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Net Profit]" caption="Sum of Net Profit" measure="1" displayFolder="" measureGroup="Sales Data"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 Data" count="0" oneField="1" hidden="1">
      <fieldsUsage count="1">
        <fieldUsage x="4"/>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246.874710763892" backgroundQuery="1" createdVersion="8" refreshedVersion="8" minRefreshableVersion="3" recordCount="0" supportSubquery="1" supportAdvancedDrill="1" xr:uid="{5B0CCD9A-301F-458E-9B95-C04BD1F12EB8}">
  <cacheSource type="external" connectionId="2"/>
  <cacheFields count="2">
    <cacheField name="[Sales Data].[Order Date (Month)].[Order Date (Month)]" caption="Order Date (Month)" numFmtId="0" hierarchy="23" level="1">
      <sharedItems count="1">
        <s v="Feb"/>
      </sharedItems>
    </cacheField>
    <cacheField name="[Measures].[Sum of Net Profit]" caption="Sum of Net Profit" numFmtId="0" hierarchy="29" level="32767"/>
  </cacheFields>
  <cacheHierarchies count="31">
    <cacheHierarchy uniqueName="[Sales Data].[Order ID]" caption="Order ID" attribute="1" defaultMemberUniqueName="[Sales Data].[Order ID].[All]" allUniqueName="[Sales Data].[Order ID].[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 Mode]" caption="Ship Mode" attribute="1" defaultMemberUniqueName="[Sales Data].[Ship Mode].[All]" allUniqueName="[Sales Data].[Ship Mode].[All]" dimensionUniqueName="[Sales Data]" displayFolder="" count="0" memberValueDatatype="13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lient Segment]" caption="Client Segment" attribute="1" defaultMemberUniqueName="[Sales Data].[Client Segment].[All]" allUniqueName="[Sales Data].[Client Segment].[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0" memberValueDatatype="130" unbalanced="0"/>
    <cacheHierarchy uniqueName="[Sales Data].[State]" caption="State" attribute="1" defaultMemberUniqueName="[Sales Data].[State].[All]" allUniqueName="[Sales Data].[State].[All]" dimensionUniqueName="[Sales Data]" displayFolder="" count="0" memberValueDatatype="130" unbalanced="0"/>
    <cacheHierarchy uniqueName="[Sales Data].[Postal Code]" caption="Postal Code" attribute="1" defaultMemberUniqueName="[Sales Data].[Postal Code].[All]" allUniqueName="[Sales Data].[Postal Code].[All]" dimensionUniqueName="[Sales Data]" displayFolder="" count="0" memberValueDatatype="20" unbalanced="0"/>
    <cacheHierarchy uniqueName="[Sales Data].[Region]" caption="Region" attribute="1" defaultMemberUniqueName="[Sales Data].[Region].[All]" allUniqueName="[Sales Data].[Region].[All]" dimensionUniqueName="[Sales Data]" displayFolder="" count="0" memberValueDatatype="130" unbalanced="0"/>
    <cacheHierarchy uniqueName="[Sales Data].[Product ID]" caption="Product ID" attribute="1" defaultMemberUniqueName="[Sales Data].[Product ID].[All]" allUniqueName="[Sales Data].[Product ID].[All]" dimensionUniqueName="[Sales Data]" displayFolder="" count="0"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Sub-Category]" caption="Sub-Category" attribute="1" defaultMemberUniqueName="[Sales Data].[Sub-Category].[All]" allUniqueName="[Sales Data].[Sub-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 Cost Price]" caption="Unit Cost Price" attribute="1" defaultMemberUniqueName="[Sales Data].[Unit Cost Price].[All]" allUniqueName="[Sales Data].[Unit Cost Price].[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Quantity]" caption="Quantity" attribute="1" defaultMemberUniqueName="[Sales Data].[Quantity].[All]" allUniqueName="[Sales Data].[Quantity].[All]" dimensionUniqueName="[Sales Data]" displayFolder="" count="0" memberValueDatatype="20" unbalanced="0"/>
    <cacheHierarchy uniqueName="[Sales Data].[Total Sales Amount]" caption="Total Sales Amount" attribute="1" defaultMemberUniqueName="[Sales Data].[Total Sales Amount].[All]" allUniqueName="[Sales Data].[Total Sales Amount].[All]" dimensionUniqueName="[Sales Data]" displayFolder="" count="0" memberValueDatatype="5" unbalanced="0"/>
    <cacheHierarchy uniqueName="[Sales Data].[Total Cost Amounts]" caption="Total Cost Amounts" attribute="1" defaultMemberUniqueName="[Sales Data].[Total Cost Amounts].[All]" allUniqueName="[Sales Data].[Total Cost Amounts].[All]" dimensionUniqueName="[Sales Data]" displayFolder="" count="0" memberValueDatatype="5" unbalanced="0"/>
    <cacheHierarchy uniqueName="[Sales Data].[Net Profit]" caption="Net Profit" attribute="1" defaultMemberUniqueName="[Sales Data].[Net Profit].[All]" allUniqueName="[Sales Data].[Net Profi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2"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0"/>
      </fieldsUsage>
    </cacheHierarchy>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 Sales Amount]" caption="Sum of Total Sales Amount" measure="1" displayFolder="" measureGroup="Sales Data" count="0" hidden="1">
      <extLst>
        <ext xmlns:x15="http://schemas.microsoft.com/office/spreadsheetml/2010/11/main" uri="{B97F6D7D-B522-45F9-BDA1-12C45D357490}">
          <x15:cacheHierarchy aggregatedColumn="18"/>
        </ext>
      </extLst>
    </cacheHierarchy>
    <cacheHierarchy uniqueName="[Measures].[Sum of Total Cost Amounts]" caption="Sum of Total Cost Amounts" measure="1" displayFolder="" measureGroup="Sales Data" count="0" hidden="1">
      <extLst>
        <ext xmlns:x15="http://schemas.microsoft.com/office/spreadsheetml/2010/11/main" uri="{B97F6D7D-B522-45F9-BDA1-12C45D357490}">
          <x15:cacheHierarchy aggregatedColumn="19"/>
        </ext>
      </extLst>
    </cacheHierarchy>
    <cacheHierarchy uniqueName="[Measures].[Sum of Net Profit]" caption="Sum of Net Profit" measure="1" displayFolder="" measureGroup="Sales Data"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246.874714930556" backgroundQuery="1" createdVersion="8" refreshedVersion="8" minRefreshableVersion="3" recordCount="0" supportSubquery="1" supportAdvancedDrill="1" xr:uid="{36DD76B0-4CA3-4F26-A8D2-52AE0DC95E62}">
  <cacheSource type="external" connectionId="2"/>
  <cacheFields count="2">
    <cacheField name="[Sales Data].[Order Date (Month)].[Order Date (Month)]" caption="Order Date (Month)" numFmtId="0" hierarchy="23" level="1">
      <sharedItems count="1">
        <s v="Feb"/>
      </sharedItems>
    </cacheField>
    <cacheField name="[Measures].[Sum of Quantity]" caption="Sum of Quantity" numFmtId="0" hierarchy="30" level="32767"/>
  </cacheFields>
  <cacheHierarchies count="31">
    <cacheHierarchy uniqueName="[Sales Data].[Order ID]" caption="Order ID" attribute="1" defaultMemberUniqueName="[Sales Data].[Order ID].[All]" allUniqueName="[Sales Data].[Order ID].[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 Mode]" caption="Ship Mode" attribute="1" defaultMemberUniqueName="[Sales Data].[Ship Mode].[All]" allUniqueName="[Sales Data].[Ship Mode].[All]" dimensionUniqueName="[Sales Data]" displayFolder="" count="0" memberValueDatatype="13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lient Segment]" caption="Client Segment" attribute="1" defaultMemberUniqueName="[Sales Data].[Client Segment].[All]" allUniqueName="[Sales Data].[Client Segment].[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0" memberValueDatatype="130" unbalanced="0"/>
    <cacheHierarchy uniqueName="[Sales Data].[State]" caption="State" attribute="1" defaultMemberUniqueName="[Sales Data].[State].[All]" allUniqueName="[Sales Data].[State].[All]" dimensionUniqueName="[Sales Data]" displayFolder="" count="0" memberValueDatatype="130" unbalanced="0"/>
    <cacheHierarchy uniqueName="[Sales Data].[Postal Code]" caption="Postal Code" attribute="1" defaultMemberUniqueName="[Sales Data].[Postal Code].[All]" allUniqueName="[Sales Data].[Postal Code].[All]" dimensionUniqueName="[Sales Data]" displayFolder="" count="0" memberValueDatatype="20" unbalanced="0"/>
    <cacheHierarchy uniqueName="[Sales Data].[Region]" caption="Region" attribute="1" defaultMemberUniqueName="[Sales Data].[Region].[All]" allUniqueName="[Sales Data].[Region].[All]" dimensionUniqueName="[Sales Data]" displayFolder="" count="0" memberValueDatatype="130" unbalanced="0"/>
    <cacheHierarchy uniqueName="[Sales Data].[Product ID]" caption="Product ID" attribute="1" defaultMemberUniqueName="[Sales Data].[Product ID].[All]" allUniqueName="[Sales Data].[Product ID].[All]" dimensionUniqueName="[Sales Data]" displayFolder="" count="0"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Sub-Category]" caption="Sub-Category" attribute="1" defaultMemberUniqueName="[Sales Data].[Sub-Category].[All]" allUniqueName="[Sales Data].[Sub-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 Cost Price]" caption="Unit Cost Price" attribute="1" defaultMemberUniqueName="[Sales Data].[Unit Cost Price].[All]" allUniqueName="[Sales Data].[Unit Cost Price].[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Quantity]" caption="Quantity" attribute="1" defaultMemberUniqueName="[Sales Data].[Quantity].[All]" allUniqueName="[Sales Data].[Quantity].[All]" dimensionUniqueName="[Sales Data]" displayFolder="" count="0" memberValueDatatype="20" unbalanced="0"/>
    <cacheHierarchy uniqueName="[Sales Data].[Total Sales Amount]" caption="Total Sales Amount" attribute="1" defaultMemberUniqueName="[Sales Data].[Total Sales Amount].[All]" allUniqueName="[Sales Data].[Total Sales Amount].[All]" dimensionUniqueName="[Sales Data]" displayFolder="" count="0" memberValueDatatype="5" unbalanced="0"/>
    <cacheHierarchy uniqueName="[Sales Data].[Total Cost Amounts]" caption="Total Cost Amounts" attribute="1" defaultMemberUniqueName="[Sales Data].[Total Cost Amounts].[All]" allUniqueName="[Sales Data].[Total Cost Amounts].[All]" dimensionUniqueName="[Sales Data]" displayFolder="" count="0" memberValueDatatype="5" unbalanced="0"/>
    <cacheHierarchy uniqueName="[Sales Data].[Net Profit]" caption="Net Profit" attribute="1" defaultMemberUniqueName="[Sales Data].[Net Profit].[All]" allUniqueName="[Sales Data].[Net Profi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2"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0"/>
      </fieldsUsage>
    </cacheHierarchy>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 Sales Amount]" caption="Sum of Total Sales Amount" measure="1" displayFolder="" measureGroup="Sales Data" count="0" hidden="1">
      <extLst>
        <ext xmlns:x15="http://schemas.microsoft.com/office/spreadsheetml/2010/11/main" uri="{B97F6D7D-B522-45F9-BDA1-12C45D357490}">
          <x15:cacheHierarchy aggregatedColumn="18"/>
        </ext>
      </extLst>
    </cacheHierarchy>
    <cacheHierarchy uniqueName="[Measures].[Sum of Total Cost Amounts]" caption="Sum of Total Cost Amounts" measure="1" displayFolder="" measureGroup="Sales Data" count="0" hidden="1">
      <extLst>
        <ext xmlns:x15="http://schemas.microsoft.com/office/spreadsheetml/2010/11/main" uri="{B97F6D7D-B522-45F9-BDA1-12C45D357490}">
          <x15:cacheHierarchy aggregatedColumn="19"/>
        </ext>
      </extLst>
    </cacheHierarchy>
    <cacheHierarchy uniqueName="[Measures].[Sum of Net Profit]" caption="Sum of Net Profit" measure="1" displayFolder="" measureGroup="Sales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 Data"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246.874716550927" backgroundQuery="1" createdVersion="8" refreshedVersion="8" minRefreshableVersion="3" recordCount="0" supportSubquery="1" supportAdvancedDrill="1" xr:uid="{DBAE66EC-A68B-46C8-8C34-D84F736A8921}">
  <cacheSource type="external" connectionId="2"/>
  <cacheFields count="2">
    <cacheField name="[Sales Data].[Order Date (Month)].[Order Date (Month)]" caption="Order Date (Month)" numFmtId="0" hierarchy="23" level="1">
      <sharedItems count="1">
        <s v="Feb"/>
      </sharedItems>
    </cacheField>
    <cacheField name="[Measures].[Sum of Total Sales Amount]" caption="Sum of Total Sales Amount" numFmtId="0" hierarchy="27" level="32767"/>
  </cacheFields>
  <cacheHierarchies count="31">
    <cacheHierarchy uniqueName="[Sales Data].[Order ID]" caption="Order ID" attribute="1" defaultMemberUniqueName="[Sales Data].[Order ID].[All]" allUniqueName="[Sales Data].[Order ID].[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 Mode]" caption="Ship Mode" attribute="1" defaultMemberUniqueName="[Sales Data].[Ship Mode].[All]" allUniqueName="[Sales Data].[Ship Mode].[All]" dimensionUniqueName="[Sales Data]" displayFolder="" count="0" memberValueDatatype="13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lient Segment]" caption="Client Segment" attribute="1" defaultMemberUniqueName="[Sales Data].[Client Segment].[All]" allUniqueName="[Sales Data].[Client Segment].[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0" memberValueDatatype="130" unbalanced="0"/>
    <cacheHierarchy uniqueName="[Sales Data].[State]" caption="State" attribute="1" defaultMemberUniqueName="[Sales Data].[State].[All]" allUniqueName="[Sales Data].[State].[All]" dimensionUniqueName="[Sales Data]" displayFolder="" count="0" memberValueDatatype="130" unbalanced="0"/>
    <cacheHierarchy uniqueName="[Sales Data].[Postal Code]" caption="Postal Code" attribute="1" defaultMemberUniqueName="[Sales Data].[Postal Code].[All]" allUniqueName="[Sales Data].[Postal Code].[All]" dimensionUniqueName="[Sales Data]" displayFolder="" count="0" memberValueDatatype="20" unbalanced="0"/>
    <cacheHierarchy uniqueName="[Sales Data].[Region]" caption="Region" attribute="1" defaultMemberUniqueName="[Sales Data].[Region].[All]" allUniqueName="[Sales Data].[Region].[All]" dimensionUniqueName="[Sales Data]" displayFolder="" count="0" memberValueDatatype="130" unbalanced="0"/>
    <cacheHierarchy uniqueName="[Sales Data].[Product ID]" caption="Product ID" attribute="1" defaultMemberUniqueName="[Sales Data].[Product ID].[All]" allUniqueName="[Sales Data].[Product ID].[All]" dimensionUniqueName="[Sales Data]" displayFolder="" count="0"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Sub-Category]" caption="Sub-Category" attribute="1" defaultMemberUniqueName="[Sales Data].[Sub-Category].[All]" allUniqueName="[Sales Data].[Sub-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 Cost Price]" caption="Unit Cost Price" attribute="1" defaultMemberUniqueName="[Sales Data].[Unit Cost Price].[All]" allUniqueName="[Sales Data].[Unit Cost Price].[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Quantity]" caption="Quantity" attribute="1" defaultMemberUniqueName="[Sales Data].[Quantity].[All]" allUniqueName="[Sales Data].[Quantity].[All]" dimensionUniqueName="[Sales Data]" displayFolder="" count="0" memberValueDatatype="20" unbalanced="0"/>
    <cacheHierarchy uniqueName="[Sales Data].[Total Sales Amount]" caption="Total Sales Amount" attribute="1" defaultMemberUniqueName="[Sales Data].[Total Sales Amount].[All]" allUniqueName="[Sales Data].[Total Sales Amount].[All]" dimensionUniqueName="[Sales Data]" displayFolder="" count="0" memberValueDatatype="5" unbalanced="0"/>
    <cacheHierarchy uniqueName="[Sales Data].[Total Cost Amounts]" caption="Total Cost Amounts" attribute="1" defaultMemberUniqueName="[Sales Data].[Total Cost Amounts].[All]" allUniqueName="[Sales Data].[Total Cost Amounts].[All]" dimensionUniqueName="[Sales Data]" displayFolder="" count="0" memberValueDatatype="5" unbalanced="0"/>
    <cacheHierarchy uniqueName="[Sales Data].[Net Profit]" caption="Net Profit" attribute="1" defaultMemberUniqueName="[Sales Data].[Net Profit].[All]" allUniqueName="[Sales Data].[Net Profi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2"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0"/>
      </fieldsUsage>
    </cacheHierarchy>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 Sales Amount]" caption="Sum of Total Sales Amount" measure="1" displayFolder="" measureGroup="Sales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otal Cost Amounts]" caption="Sum of Total Cost Amounts" measure="1" displayFolder="" measureGroup="Sales Data" count="0" hidden="1">
      <extLst>
        <ext xmlns:x15="http://schemas.microsoft.com/office/spreadsheetml/2010/11/main" uri="{B97F6D7D-B522-45F9-BDA1-12C45D357490}">
          <x15:cacheHierarchy aggregatedColumn="19"/>
        </ext>
      </extLst>
    </cacheHierarchy>
    <cacheHierarchy uniqueName="[Measures].[Sum of Net Profit]" caption="Sum of Net Profit" measure="1" displayFolder="" measureGroup="Sales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246.87471851852" backgroundQuery="1" createdVersion="8" refreshedVersion="8" minRefreshableVersion="3" recordCount="0" supportSubquery="1" supportAdvancedDrill="1" xr:uid="{F95229AE-948D-490B-9B8F-AB116221F5E6}">
  <cacheSource type="external" connectionId="2"/>
  <cacheFields count="3">
    <cacheField name="[Sales Data].[Order Date (Year)].[Order Date (Year)]" caption="Order Date (Year)" numFmtId="0" hierarchy="21" level="1">
      <sharedItems count="4">
        <s v="2014"/>
        <s v="2015"/>
        <s v="2016"/>
        <s v="2017"/>
      </sharedItems>
    </cacheField>
    <cacheField name="[Measures].[Sum of Total Sales Amount]" caption="Sum of Total Sales Amount" numFmtId="0" hierarchy="27" level="32767"/>
    <cacheField name="[Sales Data].[Order Date (Month)].[Order Date (Month)]" caption="Order Date (Month)" numFmtId="0" hierarchy="23" level="1">
      <sharedItems containsSemiMixedTypes="0" containsNonDate="0" containsString="0"/>
    </cacheField>
  </cacheFields>
  <cacheHierarchies count="31">
    <cacheHierarchy uniqueName="[Sales Data].[Order ID]" caption="Order ID" attribute="1" defaultMemberUniqueName="[Sales Data].[Order ID].[All]" allUniqueName="[Sales Data].[Order ID].[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 Mode]" caption="Ship Mode" attribute="1" defaultMemberUniqueName="[Sales Data].[Ship Mode].[All]" allUniqueName="[Sales Data].[Ship Mode].[All]" dimensionUniqueName="[Sales Data]" displayFolder="" count="0" memberValueDatatype="13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lient Segment]" caption="Client Segment" attribute="1" defaultMemberUniqueName="[Sales Data].[Client Segment].[All]" allUniqueName="[Sales Data].[Client Segment].[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0" memberValueDatatype="130" unbalanced="0"/>
    <cacheHierarchy uniqueName="[Sales Data].[State]" caption="State" attribute="1" defaultMemberUniqueName="[Sales Data].[State].[All]" allUniqueName="[Sales Data].[State].[All]" dimensionUniqueName="[Sales Data]" displayFolder="" count="0" memberValueDatatype="130" unbalanced="0"/>
    <cacheHierarchy uniqueName="[Sales Data].[Postal Code]" caption="Postal Code" attribute="1" defaultMemberUniqueName="[Sales Data].[Postal Code].[All]" allUniqueName="[Sales Data].[Postal Code].[All]" dimensionUniqueName="[Sales Data]" displayFolder="" count="0" memberValueDatatype="20" unbalanced="0"/>
    <cacheHierarchy uniqueName="[Sales Data].[Region]" caption="Region" attribute="1" defaultMemberUniqueName="[Sales Data].[Region].[All]" allUniqueName="[Sales Data].[Region].[All]" dimensionUniqueName="[Sales Data]" displayFolder="" count="0" memberValueDatatype="130" unbalanced="0"/>
    <cacheHierarchy uniqueName="[Sales Data].[Product ID]" caption="Product ID" attribute="1" defaultMemberUniqueName="[Sales Data].[Product ID].[All]" allUniqueName="[Sales Data].[Product ID].[All]" dimensionUniqueName="[Sales Data]" displayFolder="" count="0"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Sub-Category]" caption="Sub-Category" attribute="1" defaultMemberUniqueName="[Sales Data].[Sub-Category].[All]" allUniqueName="[Sales Data].[Sub-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 Cost Price]" caption="Unit Cost Price" attribute="1" defaultMemberUniqueName="[Sales Data].[Unit Cost Price].[All]" allUniqueName="[Sales Data].[Unit Cost Price].[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Quantity]" caption="Quantity" attribute="1" defaultMemberUniqueName="[Sales Data].[Quantity].[All]" allUniqueName="[Sales Data].[Quantity].[All]" dimensionUniqueName="[Sales Data]" displayFolder="" count="0" memberValueDatatype="20" unbalanced="0"/>
    <cacheHierarchy uniqueName="[Sales Data].[Total Sales Amount]" caption="Total Sales Amount" attribute="1" defaultMemberUniqueName="[Sales Data].[Total Sales Amount].[All]" allUniqueName="[Sales Data].[Total Sales Amount].[All]" dimensionUniqueName="[Sales Data]" displayFolder="" count="0" memberValueDatatype="5" unbalanced="0"/>
    <cacheHierarchy uniqueName="[Sales Data].[Total Cost Amounts]" caption="Total Cost Amounts" attribute="1" defaultMemberUniqueName="[Sales Data].[Total Cost Amounts].[All]" allUniqueName="[Sales Data].[Total Cost Amounts].[All]" dimensionUniqueName="[Sales Data]" displayFolder="" count="0" memberValueDatatype="5" unbalanced="0"/>
    <cacheHierarchy uniqueName="[Sales Data].[Net Profit]" caption="Net Profit" attribute="1" defaultMemberUniqueName="[Sales Data].[Net Profit].[All]" allUniqueName="[Sales Data].[Net Profi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0"/>
      </fieldsUsage>
    </cacheHierarchy>
    <cacheHierarchy uniqueName="[Sales Data].[Order Date (Quarter)]" caption="Order Date (Quarter)" attribute="1" defaultMemberUniqueName="[Sales Data].[Order Date (Quarter)].[All]" allUniqueName="[Sales Data].[Order Date (Quarter)].[All]" dimensionUniqueName="[Sales Data]" displayFolder="" count="2"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2"/>
      </fieldsUsage>
    </cacheHierarchy>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 Sales Amount]" caption="Sum of Total Sales Amount" measure="1" displayFolder="" measureGroup="Sales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otal Cost Amounts]" caption="Sum of Total Cost Amounts" measure="1" displayFolder="" measureGroup="Sales Data" count="0" hidden="1">
      <extLst>
        <ext xmlns:x15="http://schemas.microsoft.com/office/spreadsheetml/2010/11/main" uri="{B97F6D7D-B522-45F9-BDA1-12C45D357490}">
          <x15:cacheHierarchy aggregatedColumn="19"/>
        </ext>
      </extLst>
    </cacheHierarchy>
    <cacheHierarchy uniqueName="[Measures].[Sum of Net Profit]" caption="Sum of Net Profit" measure="1" displayFolder="" measureGroup="Sales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246.874719907406" backgroundQuery="1" createdVersion="8" refreshedVersion="8" minRefreshableVersion="3" recordCount="0" supportSubquery="1" supportAdvancedDrill="1" xr:uid="{8233BD5B-507D-4774-9993-DC5FE7232E5C}">
  <cacheSource type="external" connectionId="2"/>
  <cacheFields count="3">
    <cacheField name="[Sales Data].[Product Category].[Product Category]" caption="Product Category" numFmtId="0" hierarchy="12" level="1">
      <sharedItems count="3">
        <s v="Furniture"/>
        <s v="Office Supplies"/>
        <s v="Technology"/>
      </sharedItems>
    </cacheField>
    <cacheField name="[Measures].[Sum of Total Sales Amount]" caption="Sum of Total Sales Amount" numFmtId="0" hierarchy="27" level="32767"/>
    <cacheField name="[Sales Data].[Order Date (Month)].[Order Date (Month)]" caption="Order Date (Month)" numFmtId="0" hierarchy="23" level="1">
      <sharedItems containsSemiMixedTypes="0" containsNonDate="0" containsString="0"/>
    </cacheField>
  </cacheFields>
  <cacheHierarchies count="31">
    <cacheHierarchy uniqueName="[Sales Data].[Order ID]" caption="Order ID" attribute="1" defaultMemberUniqueName="[Sales Data].[Order ID].[All]" allUniqueName="[Sales Data].[Order ID].[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 Mode]" caption="Ship Mode" attribute="1" defaultMemberUniqueName="[Sales Data].[Ship Mode].[All]" allUniqueName="[Sales Data].[Ship Mode].[All]" dimensionUniqueName="[Sales Data]" displayFolder="" count="0" memberValueDatatype="13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lient Segment]" caption="Client Segment" attribute="1" defaultMemberUniqueName="[Sales Data].[Client Segment].[All]" allUniqueName="[Sales Data].[Client Segment].[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0" memberValueDatatype="130" unbalanced="0"/>
    <cacheHierarchy uniqueName="[Sales Data].[State]" caption="State" attribute="1" defaultMemberUniqueName="[Sales Data].[State].[All]" allUniqueName="[Sales Data].[State].[All]" dimensionUniqueName="[Sales Data]" displayFolder="" count="0" memberValueDatatype="130" unbalanced="0"/>
    <cacheHierarchy uniqueName="[Sales Data].[Postal Code]" caption="Postal Code" attribute="1" defaultMemberUniqueName="[Sales Data].[Postal Code].[All]" allUniqueName="[Sales Data].[Postal Code].[All]" dimensionUniqueName="[Sales Data]" displayFolder="" count="0" memberValueDatatype="20" unbalanced="0"/>
    <cacheHierarchy uniqueName="[Sales Data].[Region]" caption="Region" attribute="1" defaultMemberUniqueName="[Sales Data].[Region].[All]" allUniqueName="[Sales Data].[Region].[All]" dimensionUniqueName="[Sales Data]" displayFolder="" count="0" memberValueDatatype="130" unbalanced="0"/>
    <cacheHierarchy uniqueName="[Sales Data].[Product ID]" caption="Product ID" attribute="1" defaultMemberUniqueName="[Sales Data].[Product ID].[All]" allUniqueName="[Sales Data].[Product ID].[All]" dimensionUniqueName="[Sales Data]" displayFolder="" count="0" memberValueDatatype="130" unbalanced="0"/>
    <cacheHierarchy uniqueName="[Sales Data].[Product Category]" caption="Product Category" attribute="1" defaultMemberUniqueName="[Sales Data].[Product Category].[All]" allUniqueName="[Sales Data].[Product Category].[All]" dimensionUniqueName="[Sales Data]" displayFolder="" count="2" memberValueDatatype="130" unbalanced="0">
      <fieldsUsage count="2">
        <fieldUsage x="-1"/>
        <fieldUsage x="0"/>
      </fieldsUsage>
    </cacheHierarchy>
    <cacheHierarchy uniqueName="[Sales Data].[Sub-Category]" caption="Sub-Category" attribute="1" defaultMemberUniqueName="[Sales Data].[Sub-Category].[All]" allUniqueName="[Sales Data].[Sub-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 Cost Price]" caption="Unit Cost Price" attribute="1" defaultMemberUniqueName="[Sales Data].[Unit Cost Price].[All]" allUniqueName="[Sales Data].[Unit Cost Price].[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Quantity]" caption="Quantity" attribute="1" defaultMemberUniqueName="[Sales Data].[Quantity].[All]" allUniqueName="[Sales Data].[Quantity].[All]" dimensionUniqueName="[Sales Data]" displayFolder="" count="0" memberValueDatatype="20" unbalanced="0"/>
    <cacheHierarchy uniqueName="[Sales Data].[Total Sales Amount]" caption="Total Sales Amount" attribute="1" defaultMemberUniqueName="[Sales Data].[Total Sales Amount].[All]" allUniqueName="[Sales Data].[Total Sales Amount].[All]" dimensionUniqueName="[Sales Data]" displayFolder="" count="0" memberValueDatatype="5" unbalanced="0"/>
    <cacheHierarchy uniqueName="[Sales Data].[Total Cost Amounts]" caption="Total Cost Amounts" attribute="1" defaultMemberUniqueName="[Sales Data].[Total Cost Amounts].[All]" allUniqueName="[Sales Data].[Total Cost Amounts].[All]" dimensionUniqueName="[Sales Data]" displayFolder="" count="0" memberValueDatatype="5" unbalanced="0"/>
    <cacheHierarchy uniqueName="[Sales Data].[Net Profit]" caption="Net Profit" attribute="1" defaultMemberUniqueName="[Sales Data].[Net Profit].[All]" allUniqueName="[Sales Data].[Net Profi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2"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2"/>
      </fieldsUsage>
    </cacheHierarchy>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 Sales Amount]" caption="Sum of Total Sales Amount" measure="1" displayFolder="" measureGroup="Sales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otal Cost Amounts]" caption="Sum of Total Cost Amounts" measure="1" displayFolder="" measureGroup="Sales Data" count="0" hidden="1">
      <extLst>
        <ext xmlns:x15="http://schemas.microsoft.com/office/spreadsheetml/2010/11/main" uri="{B97F6D7D-B522-45F9-BDA1-12C45D357490}">
          <x15:cacheHierarchy aggregatedColumn="19"/>
        </ext>
      </extLst>
    </cacheHierarchy>
    <cacheHierarchy uniqueName="[Measures].[Sum of Net Profit]" caption="Sum of Net Profit" measure="1" displayFolder="" measureGroup="Sales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246.874721412038" backgroundQuery="1" createdVersion="8" refreshedVersion="8" minRefreshableVersion="3" recordCount="0" supportSubquery="1" supportAdvancedDrill="1" xr:uid="{D91B99B7-9F57-4F14-9A64-DCF3BF37490C}">
  <cacheSource type="external" connectionId="2"/>
  <cacheFields count="3">
    <cacheField name="[Sales Data].[Sub-Category].[Sub-Category]" caption="Sub-Category" numFmtId="0" hierarchy="13" level="1">
      <sharedItems count="15">
        <s v="Accessories"/>
        <s v="Chairs"/>
        <s v="Fasteners"/>
        <s v="Furnishings"/>
        <s v="Paper"/>
        <s v="Phones"/>
        <s v="Storage"/>
        <s v="Art" u="1"/>
        <s v="Binders" u="1"/>
        <s v="Bookcases" u="1"/>
        <s v="Copiers" u="1"/>
        <s v="Envelopes" u="1"/>
        <s v="Labels" u="1"/>
        <s v="Machines" u="1"/>
        <s v="Tables" u="1"/>
      </sharedItems>
    </cacheField>
    <cacheField name="[Measures].[Sum of Total Sales Amount]" caption="Sum of Total Sales Amount" numFmtId="0" hierarchy="27" level="32767"/>
    <cacheField name="[Sales Data].[Order Date (Month)].[Order Date (Month)]" caption="Order Date (Month)" numFmtId="0" hierarchy="23" level="1">
      <sharedItems containsSemiMixedTypes="0" containsNonDate="0" containsString="0"/>
    </cacheField>
  </cacheFields>
  <cacheHierarchies count="31">
    <cacheHierarchy uniqueName="[Sales Data].[Order ID]" caption="Order ID" attribute="1" defaultMemberUniqueName="[Sales Data].[Order ID].[All]" allUniqueName="[Sales Data].[Order ID].[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 Mode]" caption="Ship Mode" attribute="1" defaultMemberUniqueName="[Sales Data].[Ship Mode].[All]" allUniqueName="[Sales Data].[Ship Mode].[All]" dimensionUniqueName="[Sales Data]" displayFolder="" count="0" memberValueDatatype="13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lient Segment]" caption="Client Segment" attribute="1" defaultMemberUniqueName="[Sales Data].[Client Segment].[All]" allUniqueName="[Sales Data].[Client Segment].[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0" memberValueDatatype="130" unbalanced="0"/>
    <cacheHierarchy uniqueName="[Sales Data].[State]" caption="State" attribute="1" defaultMemberUniqueName="[Sales Data].[State].[All]" allUniqueName="[Sales Data].[State].[All]" dimensionUniqueName="[Sales Data]" displayFolder="" count="0" memberValueDatatype="130" unbalanced="0"/>
    <cacheHierarchy uniqueName="[Sales Data].[Postal Code]" caption="Postal Code" attribute="1" defaultMemberUniqueName="[Sales Data].[Postal Code].[All]" allUniqueName="[Sales Data].[Postal Code].[All]" dimensionUniqueName="[Sales Data]" displayFolder="" count="0" memberValueDatatype="20" unbalanced="0"/>
    <cacheHierarchy uniqueName="[Sales Data].[Region]" caption="Region" attribute="1" defaultMemberUniqueName="[Sales Data].[Region].[All]" allUniqueName="[Sales Data].[Region].[All]" dimensionUniqueName="[Sales Data]" displayFolder="" count="0" memberValueDatatype="130" unbalanced="0"/>
    <cacheHierarchy uniqueName="[Sales Data].[Product ID]" caption="Product ID" attribute="1" defaultMemberUniqueName="[Sales Data].[Product ID].[All]" allUniqueName="[Sales Data].[Product ID].[All]" dimensionUniqueName="[Sales Data]" displayFolder="" count="0"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Sub-Category]" caption="Sub-Category" attribute="1" defaultMemberUniqueName="[Sales Data].[Sub-Category].[All]" allUniqueName="[Sales Data].[Sub-Category].[All]" dimensionUniqueName="[Sales Data]" displayFolder="" count="2" memberValueDatatype="130" unbalanced="0">
      <fieldsUsage count="2">
        <fieldUsage x="-1"/>
        <fieldUsage x="0"/>
      </fieldsUsage>
    </cacheHierarchy>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 Cost Price]" caption="Unit Cost Price" attribute="1" defaultMemberUniqueName="[Sales Data].[Unit Cost Price].[All]" allUniqueName="[Sales Data].[Unit Cost Price].[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Quantity]" caption="Quantity" attribute="1" defaultMemberUniqueName="[Sales Data].[Quantity].[All]" allUniqueName="[Sales Data].[Quantity].[All]" dimensionUniqueName="[Sales Data]" displayFolder="" count="0" memberValueDatatype="20" unbalanced="0"/>
    <cacheHierarchy uniqueName="[Sales Data].[Total Sales Amount]" caption="Total Sales Amount" attribute="1" defaultMemberUniqueName="[Sales Data].[Total Sales Amount].[All]" allUniqueName="[Sales Data].[Total Sales Amount].[All]" dimensionUniqueName="[Sales Data]" displayFolder="" count="0" memberValueDatatype="5" unbalanced="0"/>
    <cacheHierarchy uniqueName="[Sales Data].[Total Cost Amounts]" caption="Total Cost Amounts" attribute="1" defaultMemberUniqueName="[Sales Data].[Total Cost Amounts].[All]" allUniqueName="[Sales Data].[Total Cost Amounts].[All]" dimensionUniqueName="[Sales Data]" displayFolder="" count="0" memberValueDatatype="5" unbalanced="0"/>
    <cacheHierarchy uniqueName="[Sales Data].[Net Profit]" caption="Net Profit" attribute="1" defaultMemberUniqueName="[Sales Data].[Net Profit].[All]" allUniqueName="[Sales Data].[Net Profi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2"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2"/>
      </fieldsUsage>
    </cacheHierarchy>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 Sales Amount]" caption="Sum of Total Sales Amount" measure="1" displayFolder="" measureGroup="Sales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otal Cost Amounts]" caption="Sum of Total Cost Amounts" measure="1" displayFolder="" measureGroup="Sales Data" count="0" hidden="1">
      <extLst>
        <ext xmlns:x15="http://schemas.microsoft.com/office/spreadsheetml/2010/11/main" uri="{B97F6D7D-B522-45F9-BDA1-12C45D357490}">
          <x15:cacheHierarchy aggregatedColumn="19"/>
        </ext>
      </extLst>
    </cacheHierarchy>
    <cacheHierarchy uniqueName="[Measures].[Sum of Net Profit]" caption="Sum of Net Profit" measure="1" displayFolder="" measureGroup="Sales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246.874726620372" backgroundQuery="1" createdVersion="8" refreshedVersion="8" minRefreshableVersion="3" recordCount="0" supportSubquery="1" supportAdvancedDrill="1" xr:uid="{23745185-21C8-4392-BA4B-75461158F1F9}">
  <cacheSource type="external" connectionId="2"/>
  <cacheFields count="3">
    <cacheField name="[Sales Data].[Product Name].[Product Name]" caption="Product Name" numFmtId="0" hierarchy="14" level="1">
      <sharedItems count="10">
        <s v="Anker 36W 4-Port USB Wall Charger Travel Power Adapter for iPhone 5s 5c 5"/>
        <s v="Carina Double Wide Media Storage Towers in Natural &amp; Black"/>
        <s v="Enermax Aurora Lite Keyboard"/>
        <s v="Global Low Back Tilter Chair"/>
        <s v="Global Push Button Manager's Chair, Indigo"/>
        <s v="JBL Micro Wireless Portable Bluetooth Speaker"/>
        <s v="Kensington SlimBlade Notebook Wireless Mouse with Nano Receiver"/>
        <s v="Logitech Mobile Speakerphone P710e - speaker phone"/>
        <s v="Maxell DVD-RAM Discs"/>
        <s v="Tops Green Bar Computer Printout Paper"/>
      </sharedItems>
    </cacheField>
    <cacheField name="[Measures].[Sum of Total Sales Amount]" caption="Sum of Total Sales Amount" numFmtId="0" hierarchy="27" level="32767"/>
    <cacheField name="[Sales Data].[Order Date (Month)].[Order Date (Month)]" caption="Order Date (Month)" numFmtId="0" hierarchy="23" level="1">
      <sharedItems containsSemiMixedTypes="0" containsNonDate="0" containsString="0"/>
    </cacheField>
  </cacheFields>
  <cacheHierarchies count="31">
    <cacheHierarchy uniqueName="[Sales Data].[Order ID]" caption="Order ID" attribute="1" defaultMemberUniqueName="[Sales Data].[Order ID].[All]" allUniqueName="[Sales Data].[Order ID].[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 Mode]" caption="Ship Mode" attribute="1" defaultMemberUniqueName="[Sales Data].[Ship Mode].[All]" allUniqueName="[Sales Data].[Ship Mode].[All]" dimensionUniqueName="[Sales Data]" displayFolder="" count="0" memberValueDatatype="13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lient Segment]" caption="Client Segment" attribute="1" defaultMemberUniqueName="[Sales Data].[Client Segment].[All]" allUniqueName="[Sales Data].[Client Segment].[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0" memberValueDatatype="130" unbalanced="0"/>
    <cacheHierarchy uniqueName="[Sales Data].[State]" caption="State" attribute="1" defaultMemberUniqueName="[Sales Data].[State].[All]" allUniqueName="[Sales Data].[State].[All]" dimensionUniqueName="[Sales Data]" displayFolder="" count="0" memberValueDatatype="130" unbalanced="0"/>
    <cacheHierarchy uniqueName="[Sales Data].[Postal Code]" caption="Postal Code" attribute="1" defaultMemberUniqueName="[Sales Data].[Postal Code].[All]" allUniqueName="[Sales Data].[Postal Code].[All]" dimensionUniqueName="[Sales Data]" displayFolder="" count="0" memberValueDatatype="20" unbalanced="0"/>
    <cacheHierarchy uniqueName="[Sales Data].[Region]" caption="Region" attribute="1" defaultMemberUniqueName="[Sales Data].[Region].[All]" allUniqueName="[Sales Data].[Region].[All]" dimensionUniqueName="[Sales Data]" displayFolder="" count="0" memberValueDatatype="130" unbalanced="0"/>
    <cacheHierarchy uniqueName="[Sales Data].[Product ID]" caption="Product ID" attribute="1" defaultMemberUniqueName="[Sales Data].[Product ID].[All]" allUniqueName="[Sales Data].[Product ID].[All]" dimensionUniqueName="[Sales Data]" displayFolder="" count="0"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Sub-Category]" caption="Sub-Category" attribute="1" defaultMemberUniqueName="[Sales Data].[Sub-Category].[All]" allUniqueName="[Sales Data].[Sub-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2" memberValueDatatype="130" unbalanced="0">
      <fieldsUsage count="2">
        <fieldUsage x="-1"/>
        <fieldUsage x="0"/>
      </fieldsUsage>
    </cacheHierarchy>
    <cacheHierarchy uniqueName="[Sales Data].[Unit Cost Price]" caption="Unit Cost Price" attribute="1" defaultMemberUniqueName="[Sales Data].[Unit Cost Price].[All]" allUniqueName="[Sales Data].[Unit Cost Price].[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Quantity]" caption="Quantity" attribute="1" defaultMemberUniqueName="[Sales Data].[Quantity].[All]" allUniqueName="[Sales Data].[Quantity].[All]" dimensionUniqueName="[Sales Data]" displayFolder="" count="0" memberValueDatatype="20" unbalanced="0"/>
    <cacheHierarchy uniqueName="[Sales Data].[Total Sales Amount]" caption="Total Sales Amount" attribute="1" defaultMemberUniqueName="[Sales Data].[Total Sales Amount].[All]" allUniqueName="[Sales Data].[Total Sales Amount].[All]" dimensionUniqueName="[Sales Data]" displayFolder="" count="0" memberValueDatatype="5" unbalanced="0"/>
    <cacheHierarchy uniqueName="[Sales Data].[Total Cost Amounts]" caption="Total Cost Amounts" attribute="1" defaultMemberUniqueName="[Sales Data].[Total Cost Amounts].[All]" allUniqueName="[Sales Data].[Total Cost Amounts].[All]" dimensionUniqueName="[Sales Data]" displayFolder="" count="0" memberValueDatatype="5" unbalanced="0"/>
    <cacheHierarchy uniqueName="[Sales Data].[Net Profit]" caption="Net Profit" attribute="1" defaultMemberUniqueName="[Sales Data].[Net Profit].[All]" allUniqueName="[Sales Data].[Net Profi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2"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2"/>
      </fieldsUsage>
    </cacheHierarchy>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 Sales Amount]" caption="Sum of Total Sales Amount" measure="1" displayFolder="" measureGroup="Sales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Total Cost Amounts]" caption="Sum of Total Cost Amounts" measure="1" displayFolder="" measureGroup="Sales Data" count="0" hidden="1">
      <extLst>
        <ext xmlns:x15="http://schemas.microsoft.com/office/spreadsheetml/2010/11/main" uri="{B97F6D7D-B522-45F9-BDA1-12C45D357490}">
          <x15:cacheHierarchy aggregatedColumn="19"/>
        </ext>
      </extLst>
    </cacheHierarchy>
    <cacheHierarchy uniqueName="[Measures].[Sum of Net Profit]" caption="Sum of Net Profit" measure="1" displayFolder="" measureGroup="Sales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refreshedDate="46120.932045486108" backgroundQuery="1" createdVersion="3" refreshedVersion="8" minRefreshableVersion="3" recordCount="0" supportSubquery="1" supportAdvancedDrill="1" xr:uid="{C0C4819A-A780-4FA6-BCB5-785604149A71}">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Sales Data].[Order ID]" caption="Order ID" attribute="1" defaultMemberUniqueName="[Sales Data].[Order ID].[All]" allUniqueName="[Sales Data].[Order ID].[All]" dimensionUniqueName="[Sales Data]" displayFolder="" count="0"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Ship Mode]" caption="Ship Mode" attribute="1" defaultMemberUniqueName="[Sales Data].[Ship Mode].[All]" allUniqueName="[Sales Data].[Ship Mode].[All]" dimensionUniqueName="[Sales Data]" displayFolder="" count="0" memberValueDatatype="13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Customer Name]" caption="Customer Name" attribute="1" defaultMemberUniqueName="[Sales Data].[Customer Name].[All]" allUniqueName="[Sales Data].[Customer Name].[All]" dimensionUniqueName="[Sales Data]" displayFolder="" count="0" memberValueDatatype="130" unbalanced="0"/>
    <cacheHierarchy uniqueName="[Sales Data].[Client Segment]" caption="Client Segment" attribute="1" defaultMemberUniqueName="[Sales Data].[Client Segment].[All]" allUniqueName="[Sales Data].[Client Segment].[All]" dimensionUniqueName="[Sales Data]" displayFolder="" count="0" memberValueDatatype="130" unbalanced="0"/>
    <cacheHierarchy uniqueName="[Sales Data].[Country]" caption="Country" attribute="1" defaultMemberUniqueName="[Sales Data].[Country].[All]" allUniqueName="[Sales Data].[Country].[All]" dimensionUniqueName="[Sales Data]" displayFolder="" count="0" memberValueDatatype="130" unbalanced="0"/>
    <cacheHierarchy uniqueName="[Sales Data].[State]" caption="State" attribute="1" defaultMemberUniqueName="[Sales Data].[State].[All]" allUniqueName="[Sales Data].[State].[All]" dimensionUniqueName="[Sales Data]" displayFolder="" count="0" memberValueDatatype="130" unbalanced="0"/>
    <cacheHierarchy uniqueName="[Sales Data].[Postal Code]" caption="Postal Code" attribute="1" defaultMemberUniqueName="[Sales Data].[Postal Code].[All]" allUniqueName="[Sales Data].[Postal Code].[All]" dimensionUniqueName="[Sales Data]" displayFolder="" count="0" memberValueDatatype="20" unbalanced="0"/>
    <cacheHierarchy uniqueName="[Sales Data].[Region]" caption="Region" attribute="1" defaultMemberUniqueName="[Sales Data].[Region].[All]" allUniqueName="[Sales Data].[Region].[All]" dimensionUniqueName="[Sales Data]" displayFolder="" count="0" memberValueDatatype="130" unbalanced="0"/>
    <cacheHierarchy uniqueName="[Sales Data].[Product ID]" caption="Product ID" attribute="1" defaultMemberUniqueName="[Sales Data].[Product ID].[All]" allUniqueName="[Sales Data].[Product ID].[All]" dimensionUniqueName="[Sales Data]" displayFolder="" count="0" memberValueDatatype="130" unbalanced="0"/>
    <cacheHierarchy uniqueName="[Sales Data].[Product Category]" caption="Product Category" attribute="1" defaultMemberUniqueName="[Sales Data].[Product Category].[All]" allUniqueName="[Sales Data].[Product Category].[All]" dimensionUniqueName="[Sales Data]" displayFolder="" count="0" memberValueDatatype="130" unbalanced="0"/>
    <cacheHierarchy uniqueName="[Sales Data].[Sub-Category]" caption="Sub-Category" attribute="1" defaultMemberUniqueName="[Sales Data].[Sub-Category].[All]" allUniqueName="[Sales Data].[Sub-Category].[All]" dimensionUniqueName="[Sales Data]" displayFolder="" count="0" memberValueDatatype="130" unbalanced="0"/>
    <cacheHierarchy uniqueName="[Sales Data].[Product Name]" caption="Product Name" attribute="1" defaultMemberUniqueName="[Sales Data].[Product Name].[All]" allUniqueName="[Sales Data].[Product Name].[All]" dimensionUniqueName="[Sales Data]" displayFolder="" count="0" memberValueDatatype="130" unbalanced="0"/>
    <cacheHierarchy uniqueName="[Sales Data].[Unit Cost Price]" caption="Unit Cost Price" attribute="1" defaultMemberUniqueName="[Sales Data].[Unit Cost Price].[All]" allUniqueName="[Sales Data].[Unit Cost Price].[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Quantity]" caption="Quantity" attribute="1" defaultMemberUniqueName="[Sales Data].[Quantity].[All]" allUniqueName="[Sales Data].[Quantity].[All]" dimensionUniqueName="[Sales Data]" displayFolder="" count="0" memberValueDatatype="20" unbalanced="0"/>
    <cacheHierarchy uniqueName="[Sales Data].[Total Sales Amount]" caption="Total Sales Amount" attribute="1" defaultMemberUniqueName="[Sales Data].[Total Sales Amount].[All]" allUniqueName="[Sales Data].[Total Sales Amount].[All]" dimensionUniqueName="[Sales Data]" displayFolder="" count="0" memberValueDatatype="5" unbalanced="0"/>
    <cacheHierarchy uniqueName="[Sales Data].[Total Cost Amounts]" caption="Total Cost Amounts" attribute="1" defaultMemberUniqueName="[Sales Data].[Total Cost Amounts].[All]" allUniqueName="[Sales Data].[Total Cost Amounts].[All]" dimensionUniqueName="[Sales Data]" displayFolder="" count="0" memberValueDatatype="5" unbalanced="0"/>
    <cacheHierarchy uniqueName="[Sales Data].[Net Profit]" caption="Net Profit" attribute="1" defaultMemberUniqueName="[Sales Data].[Net Profit].[All]" allUniqueName="[Sales Data].[Net Profi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2"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 Sales Amount]" caption="Sum of Total Sales Amount" measure="1" displayFolder="" measureGroup="Sales Data" count="0" hidden="1">
      <extLst>
        <ext xmlns:x15="http://schemas.microsoft.com/office/spreadsheetml/2010/11/main" uri="{B97F6D7D-B522-45F9-BDA1-12C45D357490}">
          <x15:cacheHierarchy aggregatedColumn="18"/>
        </ext>
      </extLst>
    </cacheHierarchy>
    <cacheHierarchy uniqueName="[Measures].[Sum of Total Cost Amounts]" caption="Sum of Total Cost Amounts" measure="1" displayFolder="" measureGroup="Sales Data" count="0" hidden="1">
      <extLst>
        <ext xmlns:x15="http://schemas.microsoft.com/office/spreadsheetml/2010/11/main" uri="{B97F6D7D-B522-45F9-BDA1-12C45D357490}">
          <x15:cacheHierarchy aggregatedColumn="19"/>
        </ext>
      </extLst>
    </cacheHierarchy>
    <cacheHierarchy uniqueName="[Measures].[Sum of Net Profit]" caption="Sum of Net Profit" measure="1" displayFolder="" measureGroup="Sales 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8744920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DCCED2-B6E7-4CA4-A810-7C7D7B5E6FF6}" name="Sales By 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K6"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name="Sum of Total Sales Amoun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 Data].[Order Date (Month)].&amp;[Feb]"/>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C57EC7-3232-4FFB-AD3E-1A803E7A1668}" name="Quantity By Month"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E3:BF5"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Quantity"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F38312-44E1-42F0-AFE3-E8B36A85C925}" name="Sales By Month"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U3:AV5"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Total Sales Amount"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D32271-DE9A-4D14-934C-FE0A9D052D06}" name="Profit By Month"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B3:BC5"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Net Profit"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7089B4-FC92-42FC-9936-B962BEDB1DCC}" name="Top 4 Products By Sale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1:N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2"/>
    </i>
    <i>
      <x v="8"/>
    </i>
    <i>
      <x v="1"/>
    </i>
    <i>
      <x v="6"/>
    </i>
    <i>
      <x v="9"/>
    </i>
    <i>
      <x v="7"/>
    </i>
    <i>
      <x v="5"/>
    </i>
    <i>
      <x v="3"/>
    </i>
    <i>
      <x/>
    </i>
    <i t="grand">
      <x/>
    </i>
  </rowItems>
  <colItems count="1">
    <i/>
  </colItems>
  <dataFields count="1">
    <dataField name="Sum of Total Sales Amoun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 Data].[Order Date (Month)].&amp;[Feb]"/>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617D56-49EA-4D90-9A7E-CFF3B346B5EA}"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J2:AN7" firstHeaderRow="0"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name="Sum of Total Sales Amount" fld="1" baseField="0" baseItem="0"/>
    <dataField name="Sum of Total Cost Amounts" fld="2" baseField="0" baseItem="0"/>
    <dataField name="Sum of Net Profit" fld="3" baseField="0" baseItem="0"/>
    <dataField name="Sum of Quantity" fld="4"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 Data].[Order Date (Month)].&amp;[Feb]"/>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9694AE-DBCF-4496-92D4-20B170F89F31}" name="Sales By Produc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Sales Amount" fld="1"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 Data].[Order Date (Month)].&amp;[Feb]"/>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1C977E-B63D-4186-94BF-EE809D94FB21}" name="Sales By SubProduct"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F9" firstHeaderRow="1" firstDataRow="1"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i>
    <i>
      <x v="1"/>
    </i>
    <i>
      <x v="5"/>
    </i>
    <i>
      <x v="6"/>
    </i>
    <i>
      <x v="4"/>
    </i>
    <i>
      <x v="2"/>
    </i>
    <i>
      <x v="3"/>
    </i>
    <i t="grand">
      <x/>
    </i>
  </rowItems>
  <colItems count="1">
    <i/>
  </colItems>
  <dataFields count="1">
    <dataField name="Sum of Total Sales Amount" fld="1" baseField="0" baseItem="0"/>
  </dataFields>
  <chartFormats count="17">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13"/>
          </reference>
        </references>
      </pivotArea>
    </chartFormat>
    <chartFormat chart="3" format="2">
      <pivotArea type="data" outline="0" fieldPosition="0">
        <references count="2">
          <reference field="4294967294" count="1" selected="0">
            <x v="0"/>
          </reference>
          <reference field="0" count="1" selected="0">
            <x v="10"/>
          </reference>
        </references>
      </pivotArea>
    </chartFormat>
    <chartFormat chart="3" format="3">
      <pivotArea type="data" outline="0" fieldPosition="0">
        <references count="2">
          <reference field="4294967294" count="1" selected="0">
            <x v="0"/>
          </reference>
          <reference field="0" count="1" selected="0">
            <x v="6"/>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3" format="6">
      <pivotArea type="data" outline="0" fieldPosition="0">
        <references count="2">
          <reference field="4294967294" count="1" selected="0">
            <x v="0"/>
          </reference>
          <reference field="0" count="1" selected="0">
            <x v="9"/>
          </reference>
        </references>
      </pivotArea>
    </chartFormat>
    <chartFormat chart="3" format="7">
      <pivotArea type="data" outline="0" fieldPosition="0">
        <references count="2">
          <reference field="4294967294" count="1" selected="0">
            <x v="0"/>
          </reference>
          <reference field="0" count="1" selected="0">
            <x v="5"/>
          </reference>
        </references>
      </pivotArea>
    </chartFormat>
    <chartFormat chart="3" format="8">
      <pivotArea type="data" outline="0" fieldPosition="0">
        <references count="2">
          <reference field="4294967294" count="1" selected="0">
            <x v="0"/>
          </reference>
          <reference field="0" count="1" selected="0">
            <x v="8"/>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14"/>
          </reference>
        </references>
      </pivotArea>
    </chartFormat>
    <chartFormat chart="3" format="11">
      <pivotArea type="data" outline="0" fieldPosition="0">
        <references count="2">
          <reference field="4294967294" count="1" selected="0">
            <x v="0"/>
          </reference>
          <reference field="0" count="1" selected="0">
            <x v="12"/>
          </reference>
        </references>
      </pivotArea>
    </chartFormat>
    <chartFormat chart="3" format="12">
      <pivotArea type="data" outline="0" fieldPosition="0">
        <references count="2">
          <reference field="4294967294" count="1" selected="0">
            <x v="0"/>
          </reference>
          <reference field="0" count="1" selected="0">
            <x v="11"/>
          </reference>
        </references>
      </pivotArea>
    </chartFormat>
    <chartFormat chart="3" format="13">
      <pivotArea type="data" outline="0" fieldPosition="0">
        <references count="2">
          <reference field="4294967294" count="1" selected="0">
            <x v="0"/>
          </reference>
          <reference field="0" count="1" selected="0">
            <x v="7"/>
          </reference>
        </references>
      </pivotArea>
    </chartFormat>
    <chartFormat chart="3" format="14">
      <pivotArea type="data" outline="0" fieldPosition="0">
        <references count="2">
          <reference field="4294967294" count="1" selected="0">
            <x v="0"/>
          </reference>
          <reference field="0" count="1" selected="0">
            <x v="4"/>
          </reference>
        </references>
      </pivotArea>
    </chartFormat>
    <chartFormat chart="3" format="15">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 Data].[Order Date (Month)].&amp;[Feb]"/>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9C667D-C486-4E0B-9CFA-C212B87A37D2}" name="Cost By Month"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Y3:AZ5"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Total Cost Amounts"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0973DC-089B-4457-A899-43F7EDBB1F61}" name="Sales By 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Q42" firstHeaderRow="1" firstDataRow="1" firstDataCol="1"/>
  <pivotFields count="2">
    <pivotField dataField="1" subtotalTop="0" showAll="0" defaultSubtotal="0"/>
    <pivotField axis="axisRow" allDrilled="1" subtotalTop="0" showAll="0" sortType="descending"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autoSortScope>
        <pivotArea dataOnly="0" outline="0" fieldPosition="0">
          <references count="1">
            <reference field="4294967294" count="1" selected="0">
              <x v="0"/>
            </reference>
          </references>
        </pivotArea>
      </autoSortScope>
    </pivotField>
  </pivotFields>
  <rowFields count="1">
    <field x="1"/>
  </rowFields>
  <rowItems count="41">
    <i>
      <x v="3"/>
    </i>
    <i>
      <x v="26"/>
    </i>
    <i>
      <x v="35"/>
    </i>
    <i>
      <x v="38"/>
    </i>
    <i>
      <x v="31"/>
    </i>
    <i>
      <x v="37"/>
    </i>
    <i>
      <x v="7"/>
    </i>
    <i>
      <x v="16"/>
    </i>
    <i>
      <x v="9"/>
    </i>
    <i>
      <x v="27"/>
    </i>
    <i>
      <x v="39"/>
    </i>
    <i>
      <x v="1"/>
    </i>
    <i>
      <x v="8"/>
    </i>
    <i>
      <x v="28"/>
    </i>
    <i>
      <x v="4"/>
    </i>
    <i>
      <x v="17"/>
    </i>
    <i>
      <x v="20"/>
    </i>
    <i>
      <x v="12"/>
    </i>
    <i>
      <x v="36"/>
    </i>
    <i>
      <x v="24"/>
    </i>
    <i>
      <x v="34"/>
    </i>
    <i>
      <x v="13"/>
    </i>
    <i>
      <x v="18"/>
    </i>
    <i>
      <x v="29"/>
    </i>
    <i>
      <x/>
    </i>
    <i>
      <x v="5"/>
    </i>
    <i>
      <x v="15"/>
    </i>
    <i>
      <x v="6"/>
    </i>
    <i>
      <x v="21"/>
    </i>
    <i>
      <x v="19"/>
    </i>
    <i>
      <x v="11"/>
    </i>
    <i>
      <x v="30"/>
    </i>
    <i>
      <x v="23"/>
    </i>
    <i>
      <x v="10"/>
    </i>
    <i>
      <x v="33"/>
    </i>
    <i>
      <x v="25"/>
    </i>
    <i>
      <x v="14"/>
    </i>
    <i>
      <x v="22"/>
    </i>
    <i>
      <x v="2"/>
    </i>
    <i>
      <x v="32"/>
    </i>
    <i t="grand">
      <x/>
    </i>
  </rowItems>
  <colItems count="1">
    <i/>
  </colItems>
  <dataFields count="1">
    <dataField name="Sum of Total Sales Amount" fld="0"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FCE182-E280-42D9-8E7A-990DDB896E90}" name="Sales By Order Dat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E2:AF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Sales Amoun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 Data].[Order Date (Month)].&amp;[Feb]"/>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Quarter" xr10:uid="{868293D7-ECC5-4CDC-8BBB-31B5CD6BBFD3}" sourceName="[Sales Data].[Order Date (Quarter)]">
  <pivotTables>
    <pivotTable tabId="1" name="Sales By Region"/>
    <pivotTable tabId="1" name="Cost By Month"/>
    <pivotTable tabId="1" name="PivotTable6"/>
    <pivotTable tabId="1" name="Profit By Month"/>
    <pivotTable tabId="1" name="Quantity By Month"/>
    <pivotTable tabId="1" name="Sales By Month"/>
    <pivotTable tabId="1" name="Sales By Order Date"/>
    <pivotTable tabId="1" name="Sales By Product"/>
    <pivotTable tabId="1" name="Sales By SubProduct"/>
    <pivotTable tabId="1" name="Top 4 Products By Sales"/>
  </pivotTables>
  <data>
    <olap pivotCacheId="874492061">
      <levels count="2">
        <level uniqueName="[Sales Data].[Order Date (Quarter)].[(All)]" sourceCaption="(All)" count="0"/>
        <level uniqueName="[Sales Data].[Order Date (Quarter)].[Order Date (Quarter)]" sourceCaption="Order Date (Quarter)" count="4">
          <ranges>
            <range startItem="0">
              <i n="[Sales Data].[Order Date (Quarter)].&amp;[Qtr1]" c="Qtr1"/>
              <i n="[Sales Data].[Order Date (Quarter)].&amp;[Qtr2]" c="Qtr2" nd="1"/>
              <i n="[Sales Data].[Order Date (Quarter)].&amp;[Qtr3]" c="Qtr3" nd="1"/>
              <i n="[Sales Data].[Order Date (Quarter)].&amp;[Qtr4]" c="Qtr4" nd="1"/>
            </range>
          </ranges>
        </level>
      </levels>
      <selections count="1">
        <selection n="[Sales Data].[Order Date (Quar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1F27728A-FB2F-461A-A1B6-69BF95D2CACE}" sourceName="[Sales Data].[Order Date (Month)]">
  <pivotTables>
    <pivotTable tabId="1" name="Sales By Region"/>
    <pivotTable tabId="1" name="Cost By Month"/>
    <pivotTable tabId="1" name="PivotTable6"/>
    <pivotTable tabId="1" name="Profit By Month"/>
    <pivotTable tabId="1" name="Quantity By Month"/>
    <pivotTable tabId="1" name="Sales By Month"/>
    <pivotTable tabId="1" name="Sales By Order Date"/>
    <pivotTable tabId="1" name="Sales By Product"/>
    <pivotTable tabId="1" name="Sales By SubProduct"/>
    <pivotTable tabId="1" name="Top 4 Products By Sales"/>
  </pivotTables>
  <data>
    <olap pivotCacheId="874492061">
      <levels count="2">
        <level uniqueName="[Sales Data].[Order Date (Month)].[(All)]" sourceCaption="(All)" count="0"/>
        <level uniqueName="[Sales Data].[Order Date (Month)].[Order Date (Month)]" sourceCaption="Order Date (Month)" count="12">
          <ranges>
            <range startItem="0">
              <i n="[Sales Data].[Order Date (Month)].&amp;[Jan]" c="Jan"/>
              <i n="[Sales Data].[Order Date (Month)].&amp;[Feb]" c="Feb"/>
              <i n="[Sales Data].[Order Date (Month)].&amp;[Mar]" c="Mar"/>
              <i n="[Sales Data].[Order Date (Month)].&amp;[Apr]" c="Apr"/>
              <i n="[Sales Data].[Order Date (Month)].&amp;[May]" c="May"/>
              <i n="[Sales Data].[Order Date (Month)].&amp;[Jun]" c="Jun"/>
              <i n="[Sales Data].[Order Date (Month)].&amp;[Jul]" c="Jul"/>
              <i n="[Sales Data].[Order Date (Month)].&amp;[Aug]" c="Aug"/>
              <i n="[Sales Data].[Order Date (Month)].&amp;[Sep]" c="Sep"/>
              <i n="[Sales Data].[Order Date (Month)].&amp;[Oct]" c="Oct"/>
              <i n="[Sales Data].[Order Date (Month)].&amp;[Nov]" c="Nov"/>
              <i n="[Sales Data].[Order Date (Month)].&amp;[Dec]" c="Dec"/>
            </range>
          </ranges>
        </level>
      </levels>
      <selections count="1">
        <selection n="[Sales Data].[Order Date (Month)].&amp;[Feb]"/>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Quarter)" xr10:uid="{03DED7E5-9636-4D93-9F51-6FC8141626DC}" cache="Slicer_Order_Date__Quarter" caption="Quarter" level="1" style="SlicerStyleDark1" rowHeight="241300"/>
  <slicer name="Order Date (Month)" xr10:uid="{DBEB831B-C469-4ED5-887E-09F6E31D7E73}" cache="Slicer_Order_Date__Month" caption="Month" columnCount="4" level="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42"/>
  <sheetViews>
    <sheetView zoomScaleNormal="100" workbookViewId="0">
      <selection activeCell="D12" sqref="D12"/>
    </sheetView>
  </sheetViews>
  <sheetFormatPr defaultRowHeight="14.5" x14ac:dyDescent="0.35"/>
  <cols>
    <col min="1" max="1" width="13.1796875" bestFit="1" customWidth="1"/>
    <col min="2" max="2" width="23.54296875" bestFit="1" customWidth="1"/>
    <col min="5" max="5" width="12.36328125" bestFit="1" customWidth="1"/>
    <col min="6" max="6" width="23.54296875" bestFit="1" customWidth="1"/>
    <col min="10" max="10" width="12.36328125" bestFit="1" customWidth="1"/>
    <col min="11" max="11" width="23.54296875" bestFit="1" customWidth="1"/>
    <col min="13" max="13" width="65.1796875" bestFit="1" customWidth="1"/>
    <col min="14" max="14" width="23.54296875" bestFit="1" customWidth="1"/>
    <col min="16" max="16" width="14.6328125" bestFit="1" customWidth="1"/>
    <col min="17" max="17" width="24.36328125" bestFit="1" customWidth="1"/>
    <col min="19" max="19" width="14.6328125" bestFit="1" customWidth="1"/>
    <col min="31" max="31" width="12.36328125" bestFit="1" customWidth="1"/>
    <col min="32" max="32" width="23.54296875" bestFit="1" customWidth="1"/>
    <col min="33" max="33" width="9.26953125" bestFit="1" customWidth="1"/>
    <col min="34" max="35" width="10.36328125" bestFit="1" customWidth="1"/>
    <col min="36" max="36" width="12.36328125" bestFit="1" customWidth="1"/>
    <col min="37" max="37" width="23.54296875" bestFit="1" customWidth="1"/>
    <col min="38" max="38" width="23.90625" bestFit="1" customWidth="1"/>
    <col min="39" max="39" width="15.36328125" bestFit="1" customWidth="1"/>
    <col min="40" max="40" width="14.54296875" bestFit="1" customWidth="1"/>
    <col min="41" max="42" width="9.26953125" bestFit="1" customWidth="1"/>
    <col min="43" max="44" width="10.36328125" bestFit="1" customWidth="1"/>
    <col min="45" max="46" width="9.26953125" bestFit="1" customWidth="1"/>
    <col min="47" max="47" width="12.36328125" bestFit="1" customWidth="1"/>
    <col min="48" max="48" width="23.54296875" bestFit="1" customWidth="1"/>
    <col min="49" max="49" width="10.36328125" bestFit="1" customWidth="1"/>
    <col min="50" max="50" width="9.26953125" bestFit="1" customWidth="1"/>
    <col min="51" max="51" width="12.36328125" bestFit="1" customWidth="1"/>
    <col min="52" max="52" width="23.90625" bestFit="1" customWidth="1"/>
    <col min="53" max="53" width="10.36328125" bestFit="1" customWidth="1"/>
    <col min="54" max="54" width="12.36328125" bestFit="1" customWidth="1"/>
    <col min="55" max="55" width="15.36328125" bestFit="1" customWidth="1"/>
    <col min="56" max="56" width="10.36328125" bestFit="1" customWidth="1"/>
    <col min="57" max="57" width="12.36328125" bestFit="1" customWidth="1"/>
    <col min="58" max="58" width="14.54296875" bestFit="1" customWidth="1"/>
    <col min="59" max="59" width="9.26953125" bestFit="1" customWidth="1"/>
    <col min="60" max="60" width="12" bestFit="1" customWidth="1"/>
    <col min="61" max="65" width="10.36328125" bestFit="1" customWidth="1"/>
    <col min="66" max="67" width="9.26953125" bestFit="1" customWidth="1"/>
    <col min="68" max="69" width="10.36328125" bestFit="1" customWidth="1"/>
    <col min="70" max="70" width="10.90625" bestFit="1" customWidth="1"/>
    <col min="71" max="71" width="9.26953125" bestFit="1" customWidth="1"/>
    <col min="72" max="73" width="9.81640625" bestFit="1" customWidth="1"/>
    <col min="74" max="74" width="9.26953125" bestFit="1" customWidth="1"/>
    <col min="75" max="77" width="10.36328125" bestFit="1" customWidth="1"/>
    <col min="78" max="78" width="10.90625" bestFit="1" customWidth="1"/>
    <col min="79" max="79" width="9.26953125" bestFit="1" customWidth="1"/>
    <col min="80" max="83" width="10.36328125" bestFit="1" customWidth="1"/>
    <col min="84" max="84" width="10.90625" bestFit="1" customWidth="1"/>
    <col min="85" max="91" width="10.36328125" bestFit="1" customWidth="1"/>
    <col min="92" max="96" width="11.453125" bestFit="1" customWidth="1"/>
    <col min="97" max="97" width="10.36328125" bestFit="1" customWidth="1"/>
    <col min="98" max="98" width="10.90625" bestFit="1" customWidth="1"/>
    <col min="99" max="99" width="10.36328125" bestFit="1" customWidth="1"/>
    <col min="100" max="103" width="11.453125" bestFit="1" customWidth="1"/>
    <col min="104" max="104" width="10.36328125" bestFit="1" customWidth="1"/>
    <col min="105" max="105" width="10.90625" bestFit="1" customWidth="1"/>
    <col min="106" max="106" width="10.36328125" bestFit="1" customWidth="1"/>
    <col min="107" max="113" width="11.453125" bestFit="1" customWidth="1"/>
    <col min="114" max="114" width="10.90625" bestFit="1" customWidth="1"/>
    <col min="115" max="116" width="10.36328125" bestFit="1" customWidth="1"/>
    <col min="117" max="119" width="9.26953125" bestFit="1" customWidth="1"/>
    <col min="120" max="120" width="10.36328125" bestFit="1" customWidth="1"/>
    <col min="121" max="121" width="9.26953125" bestFit="1" customWidth="1"/>
    <col min="122" max="127" width="10.36328125" bestFit="1" customWidth="1"/>
    <col min="128" max="128" width="9.26953125" bestFit="1" customWidth="1"/>
    <col min="129" max="129" width="9.81640625" bestFit="1" customWidth="1"/>
    <col min="130" max="135" width="10.36328125" bestFit="1" customWidth="1"/>
    <col min="136" max="136" width="9.26953125" bestFit="1" customWidth="1"/>
    <col min="137" max="143" width="10.36328125" bestFit="1" customWidth="1"/>
    <col min="144" max="145" width="9.26953125" bestFit="1" customWidth="1"/>
    <col min="146" max="147" width="10.36328125" bestFit="1" customWidth="1"/>
    <col min="148" max="148" width="10.90625" bestFit="1" customWidth="1"/>
    <col min="149" max="149" width="9.26953125" bestFit="1" customWidth="1"/>
    <col min="150" max="150" width="10.36328125" bestFit="1" customWidth="1"/>
    <col min="151" max="151" width="10.90625" bestFit="1" customWidth="1"/>
    <col min="152" max="153" width="10.36328125" bestFit="1" customWidth="1"/>
    <col min="154" max="155" width="9.81640625" bestFit="1" customWidth="1"/>
    <col min="156" max="156" width="9.26953125" bestFit="1" customWidth="1"/>
    <col min="157" max="157" width="10.36328125" bestFit="1" customWidth="1"/>
    <col min="158" max="158" width="10.90625" bestFit="1" customWidth="1"/>
    <col min="159" max="166" width="10.36328125" bestFit="1" customWidth="1"/>
    <col min="167" max="167" width="12" bestFit="1" customWidth="1"/>
    <col min="168" max="173" width="11.453125" bestFit="1" customWidth="1"/>
    <col min="174" max="176" width="10.36328125" bestFit="1" customWidth="1"/>
    <col min="177" max="186" width="11.453125" bestFit="1" customWidth="1"/>
    <col min="187" max="189" width="10.36328125" bestFit="1" customWidth="1"/>
    <col min="190" max="199" width="11.453125" bestFit="1" customWidth="1"/>
    <col min="200" max="200" width="9.81640625" bestFit="1" customWidth="1"/>
    <col min="201" max="205" width="10.36328125" bestFit="1" customWidth="1"/>
    <col min="206" max="207" width="9.26953125" bestFit="1" customWidth="1"/>
    <col min="208" max="213" width="10.36328125" bestFit="1" customWidth="1"/>
    <col min="214" max="217" width="9.81640625" bestFit="1" customWidth="1"/>
    <col min="218" max="224" width="10.36328125" bestFit="1" customWidth="1"/>
    <col min="225" max="225" width="9.26953125" bestFit="1" customWidth="1"/>
    <col min="226" max="227" width="10.36328125" bestFit="1" customWidth="1"/>
    <col min="228" max="228" width="10.90625" bestFit="1" customWidth="1"/>
    <col min="229" max="232" width="10.36328125" bestFit="1" customWidth="1"/>
    <col min="233" max="234" width="9.81640625" bestFit="1" customWidth="1"/>
    <col min="235" max="240" width="10.36328125" bestFit="1" customWidth="1"/>
    <col min="241" max="241" width="9.26953125" bestFit="1" customWidth="1"/>
    <col min="242" max="255" width="10.36328125" bestFit="1" customWidth="1"/>
    <col min="256" max="257" width="9.81640625" bestFit="1" customWidth="1"/>
    <col min="258" max="259" width="9.26953125" bestFit="1" customWidth="1"/>
    <col min="260" max="260" width="12" bestFit="1" customWidth="1"/>
    <col min="261" max="261" width="9.26953125" bestFit="1" customWidth="1"/>
    <col min="262" max="271" width="10.36328125" bestFit="1" customWidth="1"/>
    <col min="272" max="278" width="11.453125" bestFit="1" customWidth="1"/>
    <col min="279" max="283" width="10.36328125" bestFit="1" customWidth="1"/>
    <col min="284" max="289" width="11.453125" bestFit="1" customWidth="1"/>
    <col min="290" max="294" width="10.36328125" bestFit="1" customWidth="1"/>
    <col min="295" max="300" width="11.453125" bestFit="1" customWidth="1"/>
    <col min="301" max="301" width="9.26953125" bestFit="1" customWidth="1"/>
    <col min="302" max="302" width="9.81640625" bestFit="1" customWidth="1"/>
    <col min="303" max="307" width="10.36328125" bestFit="1" customWidth="1"/>
    <col min="308" max="308" width="9.26953125" bestFit="1" customWidth="1"/>
    <col min="309" max="309" width="10.36328125" bestFit="1" customWidth="1"/>
    <col min="310" max="311" width="9.26953125" bestFit="1" customWidth="1"/>
    <col min="312" max="314" width="10.36328125" bestFit="1" customWidth="1"/>
    <col min="315" max="315" width="9.26953125" bestFit="1" customWidth="1"/>
    <col min="316" max="316" width="10.90625" bestFit="1" customWidth="1"/>
    <col min="317" max="317" width="9.26953125" bestFit="1" customWidth="1"/>
    <col min="318" max="328" width="10.36328125" bestFit="1" customWidth="1"/>
    <col min="329" max="329" width="9.26953125" bestFit="1" customWidth="1"/>
    <col min="330" max="330" width="9.81640625" bestFit="1" customWidth="1"/>
    <col min="331" max="331" width="9.26953125" bestFit="1" customWidth="1"/>
    <col min="332" max="341" width="10.36328125" bestFit="1" customWidth="1"/>
    <col min="342" max="344" width="9.26953125" bestFit="1" customWidth="1"/>
    <col min="345" max="349" width="10.36328125" bestFit="1" customWidth="1"/>
    <col min="350" max="350" width="9.26953125" bestFit="1" customWidth="1"/>
    <col min="351" max="353" width="10.36328125" bestFit="1" customWidth="1"/>
    <col min="354" max="354" width="10.90625" bestFit="1" customWidth="1"/>
    <col min="355" max="356" width="9.26953125" bestFit="1" customWidth="1"/>
    <col min="357" max="370" width="10.36328125" bestFit="1" customWidth="1"/>
    <col min="371" max="378" width="11.453125" bestFit="1" customWidth="1"/>
    <col min="379" max="379" width="10.36328125" bestFit="1" customWidth="1"/>
    <col min="380" max="380" width="10.90625" bestFit="1" customWidth="1"/>
    <col min="381" max="383" width="10.36328125" bestFit="1" customWidth="1"/>
    <col min="384" max="395" width="11.453125" bestFit="1" customWidth="1"/>
    <col min="396" max="398" width="10.36328125" bestFit="1" customWidth="1"/>
    <col min="399" max="399" width="10.90625" bestFit="1" customWidth="1"/>
    <col min="400" max="400" width="10.36328125" bestFit="1" customWidth="1"/>
    <col min="401" max="410" width="11.453125" bestFit="1" customWidth="1"/>
    <col min="411" max="411" width="13.08984375" bestFit="1" customWidth="1"/>
  </cols>
  <sheetData>
    <row r="1" spans="1:58" x14ac:dyDescent="0.35">
      <c r="A1" s="1" t="s">
        <v>0</v>
      </c>
      <c r="B1" t="s">
        <v>5</v>
      </c>
      <c r="E1" s="1" t="s">
        <v>0</v>
      </c>
      <c r="F1" t="s">
        <v>5</v>
      </c>
      <c r="J1" s="1" t="s">
        <v>0</v>
      </c>
      <c r="K1" t="s">
        <v>5</v>
      </c>
      <c r="M1" s="1" t="s">
        <v>0</v>
      </c>
      <c r="N1" t="s">
        <v>5</v>
      </c>
      <c r="P1" s="1" t="s">
        <v>0</v>
      </c>
      <c r="Q1" t="s">
        <v>5</v>
      </c>
    </row>
    <row r="2" spans="1:58" x14ac:dyDescent="0.35">
      <c r="A2" s="2" t="s">
        <v>1</v>
      </c>
      <c r="B2">
        <v>3867.79</v>
      </c>
      <c r="E2" s="2" t="s">
        <v>6</v>
      </c>
      <c r="F2">
        <v>4112.43</v>
      </c>
      <c r="J2" s="2" t="s">
        <v>16</v>
      </c>
      <c r="K2">
        <v>1153.7619999999999</v>
      </c>
      <c r="M2" s="2" t="s">
        <v>66</v>
      </c>
      <c r="N2">
        <v>3117.5680000000002</v>
      </c>
      <c r="P2" s="2" t="s">
        <v>20</v>
      </c>
      <c r="Q2">
        <v>339856.0799999999</v>
      </c>
      <c r="S2" t="str">
        <f>P2</f>
        <v>California</v>
      </c>
      <c r="T2">
        <f>GETPIVOTDATA("[Measures].[Sum of Total Sales Amount]",$P$1,"[Sales Data].[State]","[Sales Data].[State].&amp;["&amp;P2&amp;"]")</f>
        <v>339856.0799999999</v>
      </c>
      <c r="AE2" s="1" t="s">
        <v>0</v>
      </c>
      <c r="AF2" t="s">
        <v>5</v>
      </c>
      <c r="AJ2" s="1" t="s">
        <v>0</v>
      </c>
      <c r="AK2" t="s">
        <v>5</v>
      </c>
      <c r="AL2" t="s">
        <v>61</v>
      </c>
      <c r="AM2" t="s">
        <v>62</v>
      </c>
      <c r="AN2" t="s">
        <v>63</v>
      </c>
    </row>
    <row r="3" spans="1:58" x14ac:dyDescent="0.35">
      <c r="A3" s="2" t="s">
        <v>2</v>
      </c>
      <c r="B3">
        <v>1518.992</v>
      </c>
      <c r="E3" s="2" t="s">
        <v>7</v>
      </c>
      <c r="F3">
        <v>3699.84</v>
      </c>
      <c r="J3" s="2" t="s">
        <v>14</v>
      </c>
      <c r="K3">
        <v>2598.768</v>
      </c>
      <c r="M3" s="2" t="s">
        <v>67</v>
      </c>
      <c r="N3">
        <v>2813.4</v>
      </c>
      <c r="P3" s="2" t="s">
        <v>43</v>
      </c>
      <c r="Q3">
        <v>193849.61600000021</v>
      </c>
      <c r="S3" t="str">
        <f t="shared" ref="S3:S41" si="0">P3</f>
        <v>New York</v>
      </c>
      <c r="T3">
        <f t="shared" ref="T3:T41" si="1">GETPIVOTDATA("[Measures].[Sum of Total Sales Amount]",$P$1,"[Sales Data].[State]","[Sales Data].[State].&amp;["&amp;P3&amp;"]")</f>
        <v>193849.61600000021</v>
      </c>
      <c r="AE3" s="2" t="s">
        <v>57</v>
      </c>
      <c r="AF3">
        <v>3880.056</v>
      </c>
      <c r="AJ3" s="2" t="s">
        <v>57</v>
      </c>
      <c r="AK3">
        <v>3880.056</v>
      </c>
      <c r="AL3">
        <v>2368.4096000000004</v>
      </c>
      <c r="AM3">
        <v>1511.6464000000001</v>
      </c>
      <c r="AN3">
        <v>15</v>
      </c>
      <c r="AU3" s="1" t="s">
        <v>0</v>
      </c>
      <c r="AV3" t="s">
        <v>5</v>
      </c>
      <c r="AY3" s="1" t="s">
        <v>0</v>
      </c>
      <c r="AZ3" t="s">
        <v>61</v>
      </c>
      <c r="BB3" s="1" t="s">
        <v>0</v>
      </c>
      <c r="BC3" t="s">
        <v>62</v>
      </c>
      <c r="BE3" s="1" t="s">
        <v>0</v>
      </c>
      <c r="BF3" t="s">
        <v>63</v>
      </c>
    </row>
    <row r="4" spans="1:58" x14ac:dyDescent="0.35">
      <c r="A4" s="2" t="s">
        <v>3</v>
      </c>
      <c r="B4">
        <v>5168.1620000000003</v>
      </c>
      <c r="E4" s="2" t="s">
        <v>11</v>
      </c>
      <c r="F4">
        <v>1055.732</v>
      </c>
      <c r="J4" s="2" t="s">
        <v>13</v>
      </c>
      <c r="K4">
        <v>3361.71</v>
      </c>
      <c r="M4" s="2" t="s">
        <v>68</v>
      </c>
      <c r="N4">
        <v>807.52</v>
      </c>
      <c r="P4" s="2" t="s">
        <v>52</v>
      </c>
      <c r="Q4">
        <v>165115.15300000002</v>
      </c>
      <c r="S4" t="str">
        <f t="shared" si="0"/>
        <v>Texas</v>
      </c>
      <c r="T4">
        <f t="shared" si="1"/>
        <v>165115.15300000002</v>
      </c>
      <c r="AE4" s="2" t="s">
        <v>58</v>
      </c>
      <c r="AF4">
        <v>4312.96</v>
      </c>
      <c r="AJ4" s="2" t="s">
        <v>58</v>
      </c>
      <c r="AK4">
        <v>4312.96</v>
      </c>
      <c r="AL4">
        <v>2824.5590000000007</v>
      </c>
      <c r="AM4">
        <v>1488.4010000000001</v>
      </c>
      <c r="AN4">
        <v>20</v>
      </c>
      <c r="AU4" s="2" t="s">
        <v>65</v>
      </c>
      <c r="AV4">
        <v>10554.944</v>
      </c>
      <c r="AY4" s="2" t="s">
        <v>65</v>
      </c>
      <c r="AZ4">
        <v>6498.9241999999995</v>
      </c>
      <c r="BB4" s="2" t="s">
        <v>65</v>
      </c>
      <c r="BC4">
        <v>4056.0197999999996</v>
      </c>
      <c r="BE4" s="2" t="s">
        <v>65</v>
      </c>
      <c r="BF4">
        <v>62</v>
      </c>
    </row>
    <row r="5" spans="1:58" x14ac:dyDescent="0.35">
      <c r="A5" s="2" t="s">
        <v>4</v>
      </c>
      <c r="B5">
        <v>10554.944</v>
      </c>
      <c r="E5" s="2" t="s">
        <v>12</v>
      </c>
      <c r="F5">
        <v>728.81999999999994</v>
      </c>
      <c r="J5" s="2" t="s">
        <v>15</v>
      </c>
      <c r="K5">
        <v>3440.7040000000002</v>
      </c>
      <c r="M5" s="2" t="s">
        <v>69</v>
      </c>
      <c r="N5">
        <v>728.81999999999994</v>
      </c>
      <c r="P5" s="2" t="s">
        <v>55</v>
      </c>
      <c r="Q5">
        <v>152915.49400000012</v>
      </c>
      <c r="S5" t="str">
        <f t="shared" si="0"/>
        <v>Washington</v>
      </c>
      <c r="T5">
        <f t="shared" si="1"/>
        <v>152915.49400000012</v>
      </c>
      <c r="AE5" s="2" t="s">
        <v>59</v>
      </c>
      <c r="AF5">
        <v>1258.1999999999998</v>
      </c>
      <c r="AJ5" s="2" t="s">
        <v>59</v>
      </c>
      <c r="AK5">
        <v>1258.1999999999998</v>
      </c>
      <c r="AL5">
        <v>673.14599999999996</v>
      </c>
      <c r="AM5">
        <v>585.05399999999997</v>
      </c>
      <c r="AN5">
        <v>8</v>
      </c>
      <c r="AU5" s="2" t="s">
        <v>4</v>
      </c>
      <c r="AV5">
        <v>10554.944</v>
      </c>
      <c r="AY5" s="2" t="s">
        <v>4</v>
      </c>
      <c r="AZ5">
        <v>6498.9241999999995</v>
      </c>
      <c r="BB5" s="2" t="s">
        <v>4</v>
      </c>
      <c r="BC5">
        <v>4056.0197999999996</v>
      </c>
      <c r="BE5" s="2" t="s">
        <v>4</v>
      </c>
      <c r="BF5">
        <v>62</v>
      </c>
    </row>
    <row r="6" spans="1:58" x14ac:dyDescent="0.35">
      <c r="E6" s="2" t="s">
        <v>10</v>
      </c>
      <c r="F6">
        <v>597.06799999999998</v>
      </c>
      <c r="J6" s="2" t="s">
        <v>4</v>
      </c>
      <c r="K6">
        <v>10554.944</v>
      </c>
      <c r="M6" s="2" t="s">
        <v>70</v>
      </c>
      <c r="N6">
        <v>449.90999999999997</v>
      </c>
      <c r="P6" s="2" t="s">
        <v>48</v>
      </c>
      <c r="Q6">
        <v>103693.7270000001</v>
      </c>
      <c r="S6" t="str">
        <f t="shared" si="0"/>
        <v>Pennsylvania</v>
      </c>
      <c r="T6">
        <f t="shared" si="1"/>
        <v>103693.7270000001</v>
      </c>
      <c r="AE6" s="2" t="s">
        <v>60</v>
      </c>
      <c r="AF6">
        <v>1103.7280000000001</v>
      </c>
      <c r="AJ6" s="2" t="s">
        <v>60</v>
      </c>
      <c r="AK6">
        <v>1103.7280000000001</v>
      </c>
      <c r="AL6">
        <v>632.80959999999993</v>
      </c>
      <c r="AM6">
        <v>470.91839999999991</v>
      </c>
      <c r="AN6">
        <v>19</v>
      </c>
    </row>
    <row r="7" spans="1:58" x14ac:dyDescent="0.35">
      <c r="E7" s="2" t="s">
        <v>8</v>
      </c>
      <c r="F7">
        <v>193.10399999999998</v>
      </c>
      <c r="M7" s="2" t="s">
        <v>71</v>
      </c>
      <c r="N7">
        <v>440.46</v>
      </c>
      <c r="P7" s="2" t="s">
        <v>54</v>
      </c>
      <c r="Q7">
        <v>66878.69</v>
      </c>
      <c r="S7" t="str">
        <f t="shared" si="0"/>
        <v>Virginia</v>
      </c>
      <c r="T7">
        <f t="shared" si="1"/>
        <v>66878.69</v>
      </c>
      <c r="AE7" s="2" t="s">
        <v>4</v>
      </c>
      <c r="AF7">
        <v>10554.944</v>
      </c>
      <c r="AJ7" s="2" t="s">
        <v>4</v>
      </c>
      <c r="AK7">
        <v>10554.944</v>
      </c>
      <c r="AL7">
        <v>6498.9241999999995</v>
      </c>
      <c r="AM7">
        <v>4056.0197999999996</v>
      </c>
      <c r="AN7">
        <v>62</v>
      </c>
    </row>
    <row r="8" spans="1:58" x14ac:dyDescent="0.35">
      <c r="E8" s="2" t="s">
        <v>9</v>
      </c>
      <c r="F8">
        <v>167.95</v>
      </c>
      <c r="M8" s="2" t="s">
        <v>72</v>
      </c>
      <c r="N8">
        <v>431.93599999999998</v>
      </c>
      <c r="P8" s="2" t="s">
        <v>24</v>
      </c>
      <c r="Q8">
        <v>59218.148500000018</v>
      </c>
      <c r="S8" t="str">
        <f t="shared" si="0"/>
        <v>Florida</v>
      </c>
      <c r="T8">
        <f t="shared" si="1"/>
        <v>59218.148500000018</v>
      </c>
    </row>
    <row r="9" spans="1:58" x14ac:dyDescent="0.35">
      <c r="E9" s="2" t="s">
        <v>4</v>
      </c>
      <c r="F9">
        <v>10554.944</v>
      </c>
      <c r="M9" s="2" t="s">
        <v>73</v>
      </c>
      <c r="N9">
        <v>323.94600000000003</v>
      </c>
      <c r="P9" s="2" t="s">
        <v>33</v>
      </c>
      <c r="Q9">
        <v>56548.233999999997</v>
      </c>
      <c r="S9" t="str">
        <f t="shared" si="0"/>
        <v>Michigan</v>
      </c>
      <c r="T9">
        <f t="shared" si="1"/>
        <v>56548.233999999997</v>
      </c>
      <c r="AK9">
        <f>GETPIVOTDATA("[Measures].["&amp;AK2&amp;"]",$AJ$2)</f>
        <v>10554.944</v>
      </c>
      <c r="AL9">
        <f t="shared" ref="AL9:AN9" si="2">GETPIVOTDATA("[Measures].["&amp;AL2&amp;"]",$AJ$2)</f>
        <v>6498.9241999999995</v>
      </c>
      <c r="AM9">
        <f t="shared" si="2"/>
        <v>4056.0197999999996</v>
      </c>
      <c r="AN9">
        <f t="shared" si="2"/>
        <v>62</v>
      </c>
    </row>
    <row r="10" spans="1:58" x14ac:dyDescent="0.35">
      <c r="M10" s="2" t="s">
        <v>74</v>
      </c>
      <c r="N10">
        <v>323.13600000000002</v>
      </c>
      <c r="P10" s="2" t="s">
        <v>26</v>
      </c>
      <c r="Q10">
        <v>51316.610999999983</v>
      </c>
      <c r="S10" t="str">
        <f t="shared" si="0"/>
        <v>Illinois</v>
      </c>
      <c r="T10">
        <f t="shared" si="1"/>
        <v>51316.610999999983</v>
      </c>
      <c r="AK10" s="3" t="s">
        <v>5</v>
      </c>
      <c r="AL10" s="3" t="s">
        <v>61</v>
      </c>
      <c r="AM10" s="3" t="s">
        <v>62</v>
      </c>
      <c r="AN10" s="3" t="s">
        <v>63</v>
      </c>
    </row>
    <row r="11" spans="1:58" ht="15.5" x14ac:dyDescent="0.35">
      <c r="M11" s="2" t="s">
        <v>75</v>
      </c>
      <c r="N11">
        <v>299.84999999999997</v>
      </c>
      <c r="P11" s="2" t="s">
        <v>44</v>
      </c>
      <c r="Q11">
        <v>50358.372000000003</v>
      </c>
      <c r="S11" t="str">
        <f t="shared" si="0"/>
        <v>North Carolina</v>
      </c>
      <c r="T11">
        <f t="shared" si="1"/>
        <v>50358.372000000003</v>
      </c>
      <c r="AJ11" t="s">
        <v>64</v>
      </c>
      <c r="AK11" s="5">
        <f>(GETPIVOTDATA("[Measures].["&amp;AK2&amp;"]",$AJ$2,"[Sales Data].[Order Date (Year)]","[Sales Data].[Order Date (Year)].&amp;[2017]")
-
GETPIVOTDATA("[Measures].["&amp;AK2&amp;"]",$AJ$2,"[Sales Data].[Order Date (Year)]","[Sales Data].[Order Date (Year)].&amp;[2016]"))
/
GETPIVOTDATA("[Measures].["&amp;AK2&amp;"]",$AJ$2,"[Sales Data].[Order Date (Year)]","[Sales Data].[Order Date (Year)].&amp;[2016]")</f>
        <v>-0.12277221427436001</v>
      </c>
      <c r="AL11" s="6">
        <f t="shared" ref="AL11:AN11" si="3">(GETPIVOTDATA("[Measures].["&amp;AL2&amp;"]",$AJ$2,"[Sales Data].[Order Date (Year)]","[Sales Data].[Order Date (Year)].&amp;[2017]")
-
GETPIVOTDATA("[Measures].["&amp;AL2&amp;"]",$AJ$2,"[Sales Data].[Order Date (Year)]","[Sales Data].[Order Date (Year)].&amp;[2016]"))
/
GETPIVOTDATA("[Measures].["&amp;AL2&amp;"]",$AJ$2,"[Sales Data].[Order Date (Year)]","[Sales Data].[Order Date (Year)].&amp;[2016]")</f>
        <v>-5.9922215982862598E-2</v>
      </c>
      <c r="AM11" s="6">
        <f t="shared" si="3"/>
        <v>-0.19508558184372737</v>
      </c>
      <c r="AN11" s="6">
        <f t="shared" si="3"/>
        <v>1.375</v>
      </c>
    </row>
    <row r="12" spans="1:58" x14ac:dyDescent="0.35">
      <c r="M12" s="2" t="s">
        <v>4</v>
      </c>
      <c r="N12">
        <v>9736.5460000000003</v>
      </c>
      <c r="P12" s="2" t="s">
        <v>56</v>
      </c>
      <c r="Q12">
        <v>45787.239999999991</v>
      </c>
      <c r="S12" t="str">
        <f t="shared" si="0"/>
        <v>Wisconsin</v>
      </c>
      <c r="T12">
        <f t="shared" si="1"/>
        <v>45787.239999999991</v>
      </c>
    </row>
    <row r="13" spans="1:58" x14ac:dyDescent="0.35">
      <c r="P13" s="2" t="s">
        <v>18</v>
      </c>
      <c r="Q13">
        <v>38675.979000000021</v>
      </c>
      <c r="S13" t="str">
        <f t="shared" si="0"/>
        <v>Arizona</v>
      </c>
      <c r="T13">
        <f t="shared" si="1"/>
        <v>38675.979000000021</v>
      </c>
    </row>
    <row r="14" spans="1:58" x14ac:dyDescent="0.35">
      <c r="P14" s="2" t="s">
        <v>25</v>
      </c>
      <c r="Q14">
        <v>38382.839999999997</v>
      </c>
      <c r="S14" t="str">
        <f t="shared" si="0"/>
        <v>Georgia</v>
      </c>
      <c r="T14">
        <f t="shared" si="1"/>
        <v>38382.839999999997</v>
      </c>
    </row>
    <row r="15" spans="1:58" x14ac:dyDescent="0.35">
      <c r="P15" s="2" t="s">
        <v>45</v>
      </c>
      <c r="Q15">
        <v>31172.585999999992</v>
      </c>
      <c r="S15" t="str">
        <f t="shared" si="0"/>
        <v>Ohio</v>
      </c>
      <c r="T15">
        <f t="shared" si="1"/>
        <v>31172.585999999992</v>
      </c>
    </row>
    <row r="16" spans="1:58" x14ac:dyDescent="0.35">
      <c r="P16" s="2" t="s">
        <v>21</v>
      </c>
      <c r="Q16">
        <v>28996.033000000003</v>
      </c>
      <c r="S16" t="str">
        <f t="shared" si="0"/>
        <v>Colorado</v>
      </c>
      <c r="T16">
        <f t="shared" si="1"/>
        <v>28996.033000000003</v>
      </c>
    </row>
    <row r="17" spans="16:20" x14ac:dyDescent="0.35">
      <c r="P17" s="2" t="s">
        <v>34</v>
      </c>
      <c r="Q17">
        <v>24378.16</v>
      </c>
      <c r="S17" t="str">
        <f t="shared" si="0"/>
        <v>Minnesota</v>
      </c>
      <c r="T17">
        <f t="shared" si="1"/>
        <v>24378.16</v>
      </c>
    </row>
    <row r="18" spans="16:20" x14ac:dyDescent="0.35">
      <c r="P18" s="2" t="s">
        <v>37</v>
      </c>
      <c r="Q18">
        <v>18556.079999999998</v>
      </c>
      <c r="S18" t="str">
        <f t="shared" si="0"/>
        <v>Montana</v>
      </c>
      <c r="T18">
        <f t="shared" si="1"/>
        <v>18556.079999999998</v>
      </c>
    </row>
    <row r="19" spans="16:20" x14ac:dyDescent="0.35">
      <c r="P19" s="2" t="s">
        <v>29</v>
      </c>
      <c r="Q19">
        <v>18555.489999999991</v>
      </c>
      <c r="S19" t="str">
        <f t="shared" si="0"/>
        <v>Kentucky</v>
      </c>
      <c r="T19">
        <f t="shared" si="1"/>
        <v>18555.489999999991</v>
      </c>
    </row>
    <row r="20" spans="16:20" x14ac:dyDescent="0.35">
      <c r="P20" s="2" t="s">
        <v>53</v>
      </c>
      <c r="Q20">
        <v>16863.633999999998</v>
      </c>
      <c r="S20" t="str">
        <f t="shared" si="0"/>
        <v>Utah</v>
      </c>
      <c r="T20">
        <f t="shared" si="1"/>
        <v>16863.633999999998</v>
      </c>
    </row>
    <row r="21" spans="16:20" x14ac:dyDescent="0.35">
      <c r="P21" s="2" t="s">
        <v>41</v>
      </c>
      <c r="Q21">
        <v>13211.130000000001</v>
      </c>
      <c r="S21" t="str">
        <f t="shared" si="0"/>
        <v>New Jersey</v>
      </c>
      <c r="T21">
        <f t="shared" si="1"/>
        <v>13211.130000000001</v>
      </c>
    </row>
    <row r="22" spans="16:20" x14ac:dyDescent="0.35">
      <c r="P22" s="2" t="s">
        <v>51</v>
      </c>
      <c r="Q22">
        <v>11371.992000000002</v>
      </c>
      <c r="S22" t="str">
        <f t="shared" si="0"/>
        <v>Tennessee</v>
      </c>
      <c r="T22">
        <f t="shared" si="1"/>
        <v>11371.992000000002</v>
      </c>
    </row>
    <row r="23" spans="16:20" x14ac:dyDescent="0.35">
      <c r="P23" s="2" t="s">
        <v>30</v>
      </c>
      <c r="Q23">
        <v>10357.890000000001</v>
      </c>
      <c r="S23" t="str">
        <f t="shared" si="0"/>
        <v>Louisiana</v>
      </c>
      <c r="T23">
        <f t="shared" si="1"/>
        <v>10357.890000000001</v>
      </c>
    </row>
    <row r="24" spans="16:20" x14ac:dyDescent="0.35">
      <c r="P24" s="2" t="s">
        <v>35</v>
      </c>
      <c r="Q24">
        <v>6977.3499999999995</v>
      </c>
      <c r="S24" t="str">
        <f t="shared" si="0"/>
        <v>Mississippi</v>
      </c>
      <c r="T24">
        <f t="shared" si="1"/>
        <v>6977.3499999999995</v>
      </c>
    </row>
    <row r="25" spans="16:20" x14ac:dyDescent="0.35">
      <c r="P25" s="2" t="s">
        <v>46</v>
      </c>
      <c r="Q25">
        <v>6899.27</v>
      </c>
      <c r="S25" t="str">
        <f t="shared" si="0"/>
        <v>Oklahoma</v>
      </c>
      <c r="T25">
        <f t="shared" si="1"/>
        <v>6899.27</v>
      </c>
    </row>
    <row r="26" spans="16:20" x14ac:dyDescent="0.35">
      <c r="P26" s="2" t="s">
        <v>17</v>
      </c>
      <c r="Q26">
        <v>5271.88</v>
      </c>
      <c r="S26" t="str">
        <f t="shared" si="0"/>
        <v>Alabama</v>
      </c>
      <c r="T26">
        <f t="shared" si="1"/>
        <v>5271.88</v>
      </c>
    </row>
    <row r="27" spans="16:20" x14ac:dyDescent="0.35">
      <c r="P27" s="2" t="s">
        <v>22</v>
      </c>
      <c r="Q27">
        <v>5164.25</v>
      </c>
      <c r="S27" t="str">
        <f t="shared" si="0"/>
        <v>Connecticut</v>
      </c>
      <c r="T27">
        <f t="shared" si="1"/>
        <v>5164.25</v>
      </c>
    </row>
    <row r="28" spans="16:20" x14ac:dyDescent="0.35">
      <c r="P28" s="2" t="s">
        <v>32</v>
      </c>
      <c r="Q28">
        <v>4104.5600000000004</v>
      </c>
      <c r="S28" t="str">
        <f t="shared" si="0"/>
        <v>Massachusetts</v>
      </c>
      <c r="T28">
        <f t="shared" si="1"/>
        <v>4104.5600000000004</v>
      </c>
    </row>
    <row r="29" spans="16:20" x14ac:dyDescent="0.35">
      <c r="P29" s="2" t="s">
        <v>23</v>
      </c>
      <c r="Q29">
        <v>3333.7800000000007</v>
      </c>
      <c r="S29" t="str">
        <f t="shared" si="0"/>
        <v>Delaware</v>
      </c>
      <c r="T29">
        <f t="shared" si="1"/>
        <v>3333.7800000000007</v>
      </c>
    </row>
    <row r="30" spans="16:20" x14ac:dyDescent="0.35">
      <c r="P30" s="2" t="s">
        <v>38</v>
      </c>
      <c r="Q30">
        <v>3299.7099999999996</v>
      </c>
      <c r="S30" t="str">
        <f t="shared" si="0"/>
        <v>Nebraska</v>
      </c>
      <c r="T30">
        <f t="shared" si="1"/>
        <v>3299.7099999999996</v>
      </c>
    </row>
    <row r="31" spans="16:20" x14ac:dyDescent="0.35">
      <c r="P31" s="2" t="s">
        <v>36</v>
      </c>
      <c r="Q31">
        <v>2973.27</v>
      </c>
      <c r="S31" t="str">
        <f t="shared" si="0"/>
        <v>Missouri</v>
      </c>
      <c r="T31">
        <f t="shared" si="1"/>
        <v>2973.27</v>
      </c>
    </row>
    <row r="32" spans="16:20" x14ac:dyDescent="0.35">
      <c r="P32" s="2" t="s">
        <v>28</v>
      </c>
      <c r="Q32">
        <v>2583.79</v>
      </c>
      <c r="S32" t="str">
        <f t="shared" si="0"/>
        <v>Iowa</v>
      </c>
      <c r="T32">
        <f t="shared" si="1"/>
        <v>2583.79</v>
      </c>
    </row>
    <row r="33" spans="16:20" x14ac:dyDescent="0.35">
      <c r="P33" s="2" t="s">
        <v>47</v>
      </c>
      <c r="Q33">
        <v>2425.9769999999999</v>
      </c>
      <c r="S33" t="str">
        <f t="shared" si="0"/>
        <v>Oregon</v>
      </c>
      <c r="T33">
        <f t="shared" si="1"/>
        <v>2425.9769999999999</v>
      </c>
    </row>
    <row r="34" spans="16:20" x14ac:dyDescent="0.35">
      <c r="P34" s="2" t="s">
        <v>40</v>
      </c>
      <c r="Q34">
        <v>2216.9900000000002</v>
      </c>
      <c r="S34" t="str">
        <f t="shared" si="0"/>
        <v>New Hampshire</v>
      </c>
      <c r="T34">
        <f t="shared" si="1"/>
        <v>2216.9900000000002</v>
      </c>
    </row>
    <row r="35" spans="16:20" x14ac:dyDescent="0.35">
      <c r="P35" s="2" t="s">
        <v>27</v>
      </c>
      <c r="Q35">
        <v>1983.2699999999998</v>
      </c>
      <c r="S35" t="str">
        <f t="shared" si="0"/>
        <v>Indiana</v>
      </c>
      <c r="T35">
        <f t="shared" si="1"/>
        <v>1983.2699999999998</v>
      </c>
    </row>
    <row r="36" spans="16:20" x14ac:dyDescent="0.35">
      <c r="P36" s="2" t="s">
        <v>50</v>
      </c>
      <c r="Q36">
        <v>1163.9899999999998</v>
      </c>
      <c r="S36" t="str">
        <f t="shared" si="0"/>
        <v>South Carolina</v>
      </c>
      <c r="T36">
        <f t="shared" si="1"/>
        <v>1163.9899999999998</v>
      </c>
    </row>
    <row r="37" spans="16:20" x14ac:dyDescent="0.35">
      <c r="P37" s="2" t="s">
        <v>42</v>
      </c>
      <c r="Q37">
        <v>301.99</v>
      </c>
      <c r="S37" t="str">
        <f t="shared" si="0"/>
        <v>New Mexico</v>
      </c>
      <c r="T37">
        <f t="shared" si="1"/>
        <v>301.99</v>
      </c>
    </row>
    <row r="38" spans="16:20" x14ac:dyDescent="0.35">
      <c r="P38" s="2" t="s">
        <v>31</v>
      </c>
      <c r="Q38">
        <v>263.62</v>
      </c>
      <c r="S38" t="str">
        <f t="shared" si="0"/>
        <v>Maryland</v>
      </c>
      <c r="T38">
        <f t="shared" si="1"/>
        <v>263.62</v>
      </c>
    </row>
    <row r="39" spans="16:20" x14ac:dyDescent="0.35">
      <c r="P39" s="2" t="s">
        <v>39</v>
      </c>
      <c r="Q39">
        <v>227.376</v>
      </c>
      <c r="S39" t="str">
        <f t="shared" si="0"/>
        <v>Nevada</v>
      </c>
      <c r="T39">
        <f t="shared" si="1"/>
        <v>227.376</v>
      </c>
    </row>
    <row r="40" spans="16:20" x14ac:dyDescent="0.35">
      <c r="P40" s="2" t="s">
        <v>19</v>
      </c>
      <c r="Q40">
        <v>223.32</v>
      </c>
      <c r="S40" t="str">
        <f t="shared" si="0"/>
        <v>Arkansas</v>
      </c>
      <c r="T40">
        <f t="shared" si="1"/>
        <v>223.32</v>
      </c>
    </row>
    <row r="41" spans="16:20" x14ac:dyDescent="0.35">
      <c r="P41" s="2" t="s">
        <v>49</v>
      </c>
      <c r="Q41">
        <v>125.84</v>
      </c>
      <c r="S41" t="str">
        <f t="shared" si="0"/>
        <v>Rhode Island</v>
      </c>
      <c r="T41">
        <f t="shared" si="1"/>
        <v>125.84</v>
      </c>
    </row>
    <row r="42" spans="16:20" x14ac:dyDescent="0.35">
      <c r="P42" s="2" t="s">
        <v>4</v>
      </c>
      <c r="Q42">
        <v>1585599.4125000006</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8EBE2-6E74-41EB-92B6-8E74F09C7BFF}">
  <dimension ref="A1"/>
  <sheetViews>
    <sheetView showGridLines="0" tabSelected="1" zoomScale="69" zoomScaleNormal="69" workbookViewId="0">
      <selection activeCell="AC16" sqref="AC16"/>
    </sheetView>
  </sheetViews>
  <sheetFormatPr defaultRowHeight="14.5" x14ac:dyDescent="0.35"/>
  <cols>
    <col min="1" max="16384" width="8.7265625" style="4"/>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05BF59-E3A3-4BEF-97FE-7204B71071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Fatma</dc:creator>
  <cp:lastModifiedBy>msi</cp:lastModifiedBy>
  <dcterms:created xsi:type="dcterms:W3CDTF">2015-06-05T18:17:20Z</dcterms:created>
  <dcterms:modified xsi:type="dcterms:W3CDTF">2026-08-17T21:49:05Z</dcterms:modified>
</cp:coreProperties>
</file>